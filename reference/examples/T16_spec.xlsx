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<sst xmlns="http://schemas.openxmlformats.org/spreadsheetml/2006/main" count="296" uniqueCount="134">
  <si>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</si>
  <si>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</si>
  <si>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</si>
  <si>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</si>
  <si>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</si>
  <si>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КУПК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</si>
  <si>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</si>
  <si>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</si>
  <si>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</si>
  <si>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</si>
  <si>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</si>
  <si>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 Двадцать Шесть</t>
  </si>
  <si>
    <t xml:space="preserve">Тестова Двадцать Семь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</si>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</sst>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 t="s">
        <v>6</v>
      </c>
    </row>
    <row r="2" customFormat="false" ht="16.5" hidden="false" customHeight="true" outlineLevel="0" collapsed="false">
      <c r="A2" s="12"/>
      <c r="B2" s="7"/>
      <c r="C2" s="7"/>
      <c r="D2" s="7"/>
      <c r="E2" s="13" t="s">
        <v>7</v>
      </c>
      <c r="F2" s="14"/>
      <c r="G2" s="15"/>
      <c r="H2" s="7"/>
      <c r="I2" s="1"/>
      <c r="K2" s="10"/>
      <c r="L2" s="10"/>
      <c r="M2" s="10"/>
      <c r="N2" s="10"/>
      <c r="O2" s="16" t="s">
        <v>8</v>
      </c>
      <c r="P2" s="10"/>
      <c r="Q2" s="10"/>
      <c r="R2" s="10"/>
      <c r="S2" s="10"/>
      <c r="T2" s="16" t="s">
        <v>8</v>
      </c>
    </row>
    <row r="3" s="7" customFormat="true" ht="21.75" hidden="false" customHeight="true" outlineLevel="0" collapsed="false">
      <c r="E3" s="13" t="s">
        <v>9</v>
      </c>
      <c r="F3" s="14" t="s">
        <v>3</v>
      </c>
      <c r="G3" s="17" t="n">
        <v>1</v>
      </c>
      <c r="K3" s="18" t="s">
        <v>10</v>
      </c>
      <c r="L3" s="18"/>
      <c r="M3" s="18"/>
      <c r="N3" s="18"/>
      <c r="O3" s="16" t="s">
        <v>11</v>
      </c>
      <c r="P3" s="18" t="s">
        <v>10</v>
      </c>
      <c r="Q3" s="18"/>
      <c r="R3" s="18"/>
      <c r="S3" s="18"/>
      <c r="T3" s="16" t="s">
        <v>12</v>
      </c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>NPV стартовый</v>
      </c>
      <c r="L4" s="18"/>
      <c r="M4" s="18"/>
      <c r="N4" s="18"/>
      <c r="O4" s="21" t="n">
        <v>5000000000</v>
      </c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13</v>
      </c>
      <c r="L5" s="18"/>
      <c r="M5" s="18"/>
      <c r="N5" s="18"/>
      <c r="O5" s="24" t="n">
        <v>45748</v>
      </c>
      <c r="P5" s="18" t="s">
        <v>13</v>
      </c>
      <c r="Q5" s="18"/>
      <c r="R5" s="18"/>
      <c r="S5" s="18"/>
      <c r="T5" s="24" t="n">
        <v>45748</v>
      </c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14</v>
      </c>
      <c r="L6" s="18"/>
      <c r="M6" s="18"/>
      <c r="N6" s="18"/>
      <c r="O6" s="27" t="n">
        <f aca="false">(MAX($G15:$G39,K15:K39))-O$5+1</f>
        <v>548</v>
      </c>
      <c r="P6" s="18" t="s">
        <v>14</v>
      </c>
      <c r="Q6" s="18"/>
      <c r="R6" s="18"/>
      <c r="S6" s="18"/>
      <c r="T6" s="27" t="n">
        <f aca="false">(MAX($G15:$G39,P15:P39))-T$5+1</f>
        <v>548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15</v>
      </c>
      <c r="L7" s="18"/>
      <c r="M7" s="18"/>
      <c r="N7" s="18"/>
      <c r="O7" s="29" t="n">
        <f aca="false">IFERROR(SUM(O$45:O$79),0)</f>
        <v>3603287.67123288</v>
      </c>
      <c r="P7" s="18" t="s">
        <v>15</v>
      </c>
      <c r="Q7" s="18"/>
      <c r="R7" s="18"/>
      <c r="S7" s="18"/>
      <c r="T7" s="29" t="n">
        <f aca="false">IFERROR(SUM(T$45:T$79),0)</f>
        <v>3603287.67123288</v>
      </c>
    </row>
    <row r="8" customFormat="false" ht="15" hidden="false" customHeight="true" outlineLevel="1" collapsed="false">
      <c r="F8" s="7"/>
      <c r="H8" s="20"/>
      <c r="I8" s="20"/>
      <c r="K8" s="18" t="s">
        <v>16</v>
      </c>
      <c r="L8" s="18"/>
      <c r="M8" s="18"/>
      <c r="N8" s="18"/>
      <c r="O8" s="29" t="n">
        <f aca="false">O$7*0.67</f>
        <v>2414202.73972603</v>
      </c>
      <c r="P8" s="18" t="s">
        <v>16</v>
      </c>
      <c r="Q8" s="18"/>
      <c r="R8" s="18"/>
      <c r="S8" s="18"/>
      <c r="T8" s="29" t="n">
        <f aca="false">T$7*0.67</f>
        <v>2414202.73972603</v>
      </c>
    </row>
    <row r="9" customFormat="false" ht="34.5" hidden="false" customHeight="true" outlineLevel="1" collapsed="false">
      <c r="F9" s="15"/>
      <c r="I9" s="20"/>
      <c r="K9" s="18" t="s">
        <v>17</v>
      </c>
      <c r="L9" s="18"/>
      <c r="M9" s="18"/>
      <c r="N9" s="18"/>
      <c r="O9" s="29" t="n">
        <f aca="false">O$7-O$8</f>
        <v>1189084.93150685</v>
      </c>
      <c r="P9" s="18" t="s">
        <v>17</v>
      </c>
      <c r="Q9" s="18"/>
      <c r="R9" s="18"/>
      <c r="S9" s="18"/>
      <c r="T9" s="29" t="n">
        <f aca="false">T$7-T$8</f>
        <v>1189084.93150685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>Коэф.фин.результата этапа</v>
      </c>
      <c r="L10" s="18"/>
      <c r="M10" s="18"/>
      <c r="N10" s="18"/>
      <c r="O10" s="30" t="n">
        <f aca="false">IF(O1="КУПК (РП/ЗРП)",MIN(1.5,MAX(0.5,IF(O4&lt;500000000,IF(ABS(O11-O4)&gt;50000000,1+0.05/100000000*(O11-O4),1),O11/O4))),IF(O1="КУПК",MIN(1.25,MAX(0.75,IF(O4&lt;500000000, IF(ABS(O11-O4)&gt;50000000,1+0.05/100000000*(O11-O4),1),O11/O4))),""))</f>
        <v>1</v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(РП/ЗРП)",MIN(1.5,MAX(0.5,IF(T4&lt;500000000,IF(ABS(T11-T4)&gt;50000000,1+0.05/100000000*(T11-T4),1),T11/T4))),IF(T1="КУПК",MIN(1.25,MAX(0.75,IF(T4&lt;500000000,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>NPV текущий</v>
      </c>
      <c r="L11" s="18"/>
      <c r="M11" s="18"/>
      <c r="N11" s="18"/>
      <c r="O11" s="21" t="n">
        <v>5000000000</v>
      </c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(этапа)",1,0)))*(1+(MIN(0,$I36)*1%))*((AVERAGE(O16:O35)-50%)*2)-SUM(N16:N35)&lt;0, 0, ((O$7*IF(AND(OR(O$1="КУПК",O$1="РУПК"),$F$3="Да"),90%+10%*MAX(0,MIN(1,($G$3-40%)*2)),1))/O$6*(O$12-O$5+IF(K$12="Дата ухода с проекта (этапа)",1,0)))*(1+(MIN(0,$I36)*1%))*((AVERAGE(O16:O35)-50%)*2)-SUM(N16:N35)),O$1="РУПК", IF(((O$7*IF(AND(OR(O$1="КУПК",O$1="РУПК"),$F$3="Да"),90%+10%*MAX(0,MIN(1,($G$3-40%)*2)),1))/O$6*(O$12-O$5+IF(K$12="Дата ухода с проекта (этапа)",1,0)))*(1+(MIN(0,$I36)*1%))-SUM(N16:N35)&lt;0, 0, ((O$7*IF(AND(OR(O$1="КУПК",O$1="РУПК"),$F$3="Да"),90%+10%*MAX(0,MIN(1,($G$3-40%)*2)),1))/O$6*(O$12-O$5+IF(K$12="Дата ухода с проекта (этапа)",1,0)))*(1+(MIN(0,$I36)*1%))-SUM(N16:N35)),OR(O$1="КУПК",O$1="КУПК (РП/ЗРП)"), IF(((O$7*IF(AND(OR(O$1="КУПК",O$1="РУПК"),$F$3="Да"),90%+10%*MAX(0,MIN(1,($G$3-40%)*2)),1))/O$6*(O$12-O$5+IF(K$12="Дата ухода с проекта (этапа)",1,0)))*O$10*(1+(MIN(0,$I36)*1%))-SUM(N16:N35)&lt;0, 0, ((O$7*IF(AND(OR(O$1="КУПК",O$1="РУПК"),$F$3="Да"),90%+10%*MAX(0,MIN(1,($G$3-40%)*2)),1))/O$6*(O$12-O$5+IF(K$12="Дата ухода с проекта (этапа)",1,0)))*O$10*(1+(MIN(0,$I36)*1%))-SUM(N16:N35))),_xlfn.IFS(O$1="МП", IF(((O$7*IF(AND(OR(O$1="КУПК",O$1="РУПК"),$F$3="Да"),90%+10%*MAX(0,MIN(1,($G$3-40%)*2)),1))/O$6*(O$12-O$5+IF(K$12="Дата ухода с проекта (этапа)",1,0)))*(1+(MIN(0,K36-$H36)*1%))*((AVERAGE(O16:O35)-50%)*2)-SUM(N16:N35)&lt;0, 0, ((O$7*IF(AND(OR(O$1="КУПК",O$1="РУПК"),$F$3="Да"),90%+10%*MAX(0,MIN(1,($G$3-40%)*2)),1))/O$6*(O$12-O$5+IF(K$12="Дата ухода с проекта (этапа)",1,0)))*(1+(MIN(0,K36-$H36)*1%))*((AVERAGE(O16:O35)-50%)*2)-SUM(N16:N35)),O$1="РУПК", IF(((O$7*IF(AND(OR(O$1="КУПК",O$1="РУПК"),$F$3="Да"),90%+10%*MAX(0,MIN(1,($G$3-40%)*2)),1))/O$6*(O$12-O$5+IF(K$12="Дата ухода с проекта (этапа)",1,0)))*(1+(MIN(0,K36-$H36)*1%))-SUM(N16:N35)&lt;0, 0, ((O$7*IF(AND(OR(O$1="КУПК",O$1="РУПК"),$F$3="Да"),90%+10%*MAX(0,MIN(1,($G$3-40%)*2)),1))/O$6*(O$12-O$5+IF(K$12="Дата ухода с проекта (этапа)",1,0)))*(1+(MIN(0,K36-$H36)*1%))-SUM(N16:N35)),OR(O$1="КУПК",O$1="КУПК (РП/ЗРП)"), IF(((O$7*IF(AND(OR(O$1="КУПК",O$1="РУПК"),$F$3="Да"),90%+10%*MAX(0,MIN(1,($G$3-40%)*2)),1))/O$6*(O$12-O$5+IF(K$12="Дата ухода с проекта (этапа)",1,0)))*O$10*(1+(MIN(0,K36-$H36)*1%))-SUM(N16:N35)&lt;0, 0, ((O$7*IF(AND(OR(O$1="КУПК",O$1="РУПК"),$F$3="Да"),90%+10%*MAX(0,MIN(1,($G$3-40%)*2)),1))/O$6*(O$12-O$5+IF(K$12="Дата ухода с проекта (этапа)",1,0)))*O$10*(1+(MIN(0,K36-$H36)*1%))-SUM(N16:N35)))))),"")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(этапа)",1,0)))*(1+(MIN(0,$I36)*1%))*((AVERAGE(T16:T35)-50%)*2)-SUM(S16:S35)&lt;0, 0, ((T$7*IF(AND(OR(T$1="КУПК",T$1="РУПК"),$F$3="Да"),90%+10%*MAX(0,MIN(1,($G$3-40%)*2)),1))/T$6*(T$12-T$5+IF(P$12="Дата ухода с проекта (этапа)",1,0)))*(1+(MIN(0,$I36)*1%))*((AVERAGE(T16:T35)-50%)*2)-SUM(S16:S35)),T$1="РУПК", IF(((T$7*IF(AND(OR(T$1="КУПК",T$1="РУПК"),$F$3="Да"),90%+10%*MAX(0,MIN(1,($G$3-40%)*2)),1))/T$6*(T$12-T$5+IF(P$12="Дата ухода с проекта (этапа)",1,0)))*(1+(MIN(0,$I36)*1%))-SUM(S16:S35)&lt;0, 0, ((T$7*IF(AND(OR(T$1="КУПК",T$1="РУПК"),$F$3="Да"),90%+10%*MAX(0,MIN(1,($G$3-40%)*2)),1))/T$6*(T$12-T$5+IF(P$12="Дата ухода с проекта (этапа)",1,0)))*(1+(MIN(0,$I36)*1%))-SUM(S16:S35)),OR(T$1="КУПК",T$1="КУПК (РП/ЗРП)"), IF(((T$7*IF(AND(OR(T$1="КУПК",T$1="РУПК"),$F$3="Да"),90%+10%*MAX(0,MIN(1,($G$3-40%)*2)),1))/T$6*(T$12-T$5+IF(P$12="Дата ухода с проекта (этапа)",1,0)))*T$10*(1+(MIN(0,$I36)*1%))-SUM(S16:S35)&lt;0, 0, ((T$7*IF(AND(OR(T$1="КУПК",T$1="РУПК"),$F$3="Да"),90%+10%*MAX(0,MIN(1,($G$3-40%)*2)),1))/T$6*(T$12-T$5+IF(P$12="Дата ухода с проекта (этапа)",1,0)))*T$10*(1+(MIN(0,$I36)*1%))-SUM(S16:S35))),_xlfn.IFS(T$1="МП", IF(((T$7*IF(AND(OR(T$1="КУПК",T$1="РУПК"),$F$3="Да"),90%+10%*MAX(0,MIN(1,($G$3-40%)*2)),1))/T$6*(T$12-T$5+IF(P$12="Дата ухода с проекта (этапа)",1,0)))*(1+(MIN(0,P36-$H36)*1%))*((AVERAGE(T16:T35)-50%)*2)-SUM(S16:S35)&lt;0, 0, ((T$7*IF(AND(OR(T$1="КУПК",T$1="РУПК"),$F$3="Да"),90%+10%*MAX(0,MIN(1,($G$3-40%)*2)),1))/T$6*(T$12-T$5+IF(P$12="Дата ухода с проекта (этапа)",1,0)))*(1+(MIN(0,P36-$H36)*1%))*((AVERAGE(T16:T35)-50%)*2)-SUM(S16:S35)),T$1="РУПК", IF(((T$7*IF(AND(OR(T$1="КУПК",T$1="РУПК"),$F$3="Да"),90%+10%*MAX(0,MIN(1,($G$3-40%)*2)),1))/T$6*(T$12-T$5+IF(P$12="Дата ухода с проекта (этапа)",1,0)))*(1+(MIN(0,P36-$H36)*1%))-SUM(S16:S35)&lt;0, 0, ((T$7*IF(AND(OR(T$1="КУПК",T$1="РУПК"),$F$3="Да"),90%+10%*MAX(0,MIN(1,($G$3-40%)*2)),1))/T$6*(T$12-T$5+IF(P$12="Дата ухода с проекта (этапа)",1,0)))*(1+(MIN(0,P36-$H36)*1%))-SUM(S16:S35)),OR(T$1="КУПК",T$1="КУПК (РП/ЗРП)"), IF(((T$7*IF(AND(OR(T$1="КУПК",T$1="РУПК"),$F$3="Да"),90%+10%*MAX(0,MIN(1,($G$3-40%)*2)),1))/T$6*(T$12-T$5+IF(P$12="Дата ухода с проекта (этапа)",1,0)))*T$10*(1+(MIN(0,P36-$H36)*1%))-SUM(S16:S35)&lt;0, 0, ((T$7*IF(AND(OR(T$1="КУПК",T$1="РУПК"),$F$3="Да"),90%+10%*MAX(0,MIN(1,($G$3-40%)*2)),1))/T$6*(T$12-T$5+IF(P$12="Дата ухода с проекта (этапа)",1,0)))*T$10*(1+(MIN(0,P36-$H36)*1%))-SUM(S16:S35)))))),"")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18</v>
      </c>
      <c r="L14" s="35"/>
      <c r="M14" s="35"/>
      <c r="N14" s="35"/>
      <c r="O14" s="36"/>
      <c r="P14" s="35" t="s">
        <v>18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19</v>
      </c>
      <c r="D15" s="40" t="s">
        <v>20</v>
      </c>
      <c r="E15" s="41" t="s">
        <v>21</v>
      </c>
      <c r="F15" s="41" t="s">
        <v>22</v>
      </c>
      <c r="G15" s="41" t="s">
        <v>23</v>
      </c>
      <c r="H15" s="41" t="s">
        <v>24</v>
      </c>
      <c r="I15" s="41" t="s">
        <v>25</v>
      </c>
      <c r="J15" s="42" t="s">
        <v>26</v>
      </c>
      <c r="K15" s="43" t="s">
        <v>27</v>
      </c>
      <c r="L15" s="44"/>
      <c r="M15" s="40" t="s">
        <v>28</v>
      </c>
      <c r="N15" s="40" t="s">
        <v>29</v>
      </c>
      <c r="O15" s="45" t="str">
        <f aca="false">IF(OR(O1="КУПК (РП/ЗРП)",O1="КУПК"),"Комментарий/NPV/KPI","Комментарий")</f>
        <v>Комментарий/NPV/KPI</v>
      </c>
      <c r="P15" s="43" t="s">
        <v>27</v>
      </c>
      <c r="Q15" s="44"/>
      <c r="R15" s="40" t="s">
        <v>28</v>
      </c>
      <c r="S15" s="40" t="s">
        <v>29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30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IF(H16="","",(DATE(YEAR(H16),ROUNDUP(MONTH(H16)/3,0)*3+2,10)-IF(WEEKDAY(DATE(YEAR(H16),ROUNDUP(MONTH(H16)/3,0)*3+2,10),2)&gt;5,WEEKDAY(DATE(YEAR(H16),ROUNDUP(MONTH(H16)/3,0)*3+2,10),2)-5,0)))</f>
        <v>45877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IFERROR(IF(AND(O$12&lt;&gt;"",$H16&gt;O$12),0,IF($I16&lt;-100,0,IF(IF(AND($F$1="Да",$F$2=O$5),TRUE(),IF(K16="",$G16,K16)&gt;=O$5+60),IF($H16="","",IF(AND(O$1="МП",_xlfn.ISFORMULA(O16)),"Впиши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1.5,1.5*O$10))))),"Веха не участвует в расчете выплат за квартал"))),"")</f>
        <v>402367.123287671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>Расчёт при NPV = 5000000 000 ₽. Коэф. фин. рез. = 1</v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n">
        <f aca="false">IFERROR(IF(AND(T$12&lt;&gt;"",$H16&gt;T$12),0,IF($I16&lt;-100,0,IF(IF(AND($F$1="Да",$F$2=T$5),TRUE(),IF(P16="",$G16,P16)&gt;=T$5+60),IF($H16="","",IF(AND(T$1="МП",_xlfn.ISFORMULA(T16)),"Впиши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1.5,1.5*T$10))))),"Веха не участвует в расчете выплат за квартал"))),"")</f>
        <v>402367.123287671</v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31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IF(H17="","",(DATE(YEAR(H17),ROUNDUP(MONTH(H17)/3,0)*3+2,10)-IF(WEEKDAY(DATE(YEAR(H17),ROUNDUP(MONTH(H17)/3,0)*3+2,10),2)&gt;5,WEEKDAY(DATE(YEAR(H17),ROUNDUP(MONTH(H17)/3,0)*3+2,10),2)-5,0)))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IFERROR(IF(AND(O$12&lt;&gt;"",$H17&gt;O$12),0,IF($I17&lt;-100,0,IF(IF(AND($F$1="Да",$F$2=O$5),TRUE(),IF(K17="",$G17,K17)&gt;=O$5+60),IF($H17="","",IF(AND(O$1="МП",_xlfn.ISFORMULA(O17)),"Впиши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1.5,1.5*O$10))))),"Веха не участвует в расчете выплат за квартал"))),"")</f>
        <v>402367.123287671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>Расчёт при NPV = 5000000 000 ₽. Коэф. фин. рез. = 1</v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n">
        <f aca="false">IFERROR(IF(AND(T$12&lt;&gt;"",$H17&gt;T$12),0,IF($I17&lt;-100,0,IF(IF(AND($F$1="Да",$F$2=T$5),TRUE(),IF(P17="",$G17,P17)&gt;=T$5+60),IF($H17="","",IF(AND(T$1="МП",_xlfn.ISFORMULA(T17)),"Впиши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1.5,1.5*T$10))))),"Веха не участвует в расчете выплат за квартал"))),"")</f>
        <v>402367.123287671</v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32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IF(H18="","",(DATE(YEAR(H18),ROUNDUP(MONTH(H18)/3,0)*3+2,10)-IF(WEEKDAY(DATE(YEAR(H18),ROUNDUP(MONTH(H18)/3,0)*3+2,10),2)&gt;5,WEEKDAY(DATE(YEAR(H18),ROUNDUP(MONTH(H18)/3,0)*3+2,10),2)-5,0)))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IFERROR(IF(AND(O$12&lt;&gt;"",$H18&gt;O$12),0,IF($I18&lt;-100,0,IF(IF(AND($F$1="Да",$F$2=O$5),TRUE(),IF(K18="",$G18,K18)&gt;=O$5+60),IF($H18="","",IF(AND(O$1="МП",_xlfn.ISFORMULA(O18)),"Впиши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1.5,1.5*O$10))))),"Веха не участвует в расчете выплат за квартал"))),"")</f>
        <v>402367.123287671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>Расчёт при NPV = 5000000 000 ₽. Коэф. фин. рез. = 1</v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n">
        <f aca="false">IFERROR(IF(AND(T$12&lt;&gt;"",$H18&gt;T$12),0,IF($I18&lt;-100,0,IF(IF(AND($F$1="Да",$F$2=T$5),TRUE(),IF(P18="",$G18,P18)&gt;=T$5+60),IF($H18="","",IF(AND(T$1="МП",_xlfn.ISFORMULA(T18)),"Впиши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1.5,1.5*T$10))))),"Веха не участвует в расчете выплат за квартал"))),"")</f>
        <v>402367.123287671</v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33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IF(H19="","",(DATE(YEAR(H19),ROUNDUP(MONTH(H19)/3,0)*3+2,10)-IF(WEEKDAY(DATE(YEAR(H19),ROUNDUP(MONTH(H19)/3,0)*3+2,10),2)&gt;5,WEEKDAY(DATE(YEAR(H19),ROUNDUP(MONTH(H19)/3,0)*3+2,10),2)-5,0)))</f>
        <v>46150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IFERROR(IF(AND(O$12&lt;&gt;"",$H19&gt;O$12),0,IF($I19&lt;-100,0,IF(IF(AND($F$1="Да",$F$2=O$5),TRUE(),IF(K19="",$G19,K19)&gt;=O$5+60),IF($H19="","",IF(AND(O$1="МП",_xlfn.ISFORMULA(O19)),"Впиши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1.5,1.5*O$10))))),"Веха не участвует в расчете выплат за квартал"))),"")</f>
        <v>402367.123287671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>Расчёт при NPV = 5000000 000 ₽. Коэф. фин. рез. = 1</v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n">
        <f aca="false">IFERROR(IF(AND(T$12&lt;&gt;"",$H19&gt;T$12),0,IF($I19&lt;-100,0,IF(IF(AND($F$1="Да",$F$2=T$5),TRUE(),IF(P19="",$G19,P19)&gt;=T$5+60),IF($H19="","",IF(AND(T$1="МП",_xlfn.ISFORMULA(T19)),"Впиши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1.5,1.5*T$10))))),"Веха не участвует в расчете выплат за квартал"))),"")</f>
        <v>402367.123287671</v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34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IF(H20="","",(DATE(YEAR(H20),ROUNDUP(MONTH(H20)/3,0)*3+2,10)-IF(WEEKDAY(DATE(YEAR(H20),ROUNDUP(MONTH(H20)/3,0)*3+2,10),2)&gt;5,WEEKDAY(DATE(YEAR(H20),ROUNDUP(MONTH(H20)/3,0)*3+2,10),2)-5,0)))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IFERROR(IF(AND(O$12&lt;&gt;"",$H20&gt;O$12),0,IF($I20&lt;-100,0,IF(IF(AND($F$1="Да",$F$2=O$5),TRUE(),IF(K20="",$G20,K20)&gt;=O$5+60),IF($H20="","",IF(AND(O$1="МП",_xlfn.ISFORMULA(O20)),"Впиши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1.5,1.5*O$10))))),"Веха не участвует в расчете выплат за квартал"))),"")</f>
        <v>402367.123287671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>Расчёт при NPV = 5000000 000 ₽. Коэф. фин. рез. = 1</v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n">
        <f aca="false">IFERROR(IF(AND(T$12&lt;&gt;"",$H20&gt;T$12),0,IF($I20&lt;-100,0,IF(IF(AND($F$1="Да",$F$2=T$5),TRUE(),IF(P20="",$G20,P20)&gt;=T$5+60),IF($H20="","",IF(AND(T$1="МП",_xlfn.ISFORMULA(T20)),"Впиши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1.5,1.5*T$10))))),"Веха не участвует в расчете выплат за квартал"))),"")</f>
        <v>402367.123287671</v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35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IF(H21="","",(DATE(YEAR(H21),ROUNDUP(MONTH(H21)/3,0)*3+2,10)-IF(WEEKDAY(DATE(YEAR(H21),ROUNDUP(MONTH(H21)/3,0)*3+2,10),2)&gt;5,WEEKDAY(DATE(YEAR(H21),ROUNDUP(MONTH(H21)/3,0)*3+2,10),2)-5,0)))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IFERROR(IF(AND(O$12&lt;&gt;"",$H21&gt;O$12),0,IF($I21&lt;-100,0,IF(IF(AND($F$1="Да",$F$2=O$5),TRUE(),IF(K21="",$G21,K21)&gt;=O$5+60),IF($H21="","",IF(AND(O$1="МП",_xlfn.ISFORMULA(O21)),"Впиши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1.5,1.5*O$10))))),"Веха не участвует в расчете выплат за квартал"))),"")</f>
        <v>402367.123287671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>Расчёт при NPV = 5000000 000 ₽. Коэф. фин. рез. = 1</v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n">
        <f aca="false">IFERROR(IF(AND(T$12&lt;&gt;"",$H21&gt;T$12),0,IF($I21&lt;-100,0,IF(IF(AND($F$1="Да",$F$2=T$5),TRUE(),IF(P21="",$G21,P21)&gt;=T$5+60),IF($H21="","",IF(AND(T$1="МП",_xlfn.ISFORMULA(T21)),"Впиши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1.5,1.5*T$10))))),"Веха не участвует в расчете выплат за квартал"))),"")</f>
        <v>402367.123287671</v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IF(H22="","",(DATE(YEAR(H22),ROUNDUP(MONTH(H22)/3,0)*3+2,10)-IF(WEEKDAY(DATE(YEAR(H22),ROUNDUP(MONTH(H22)/3,0)*3+2,10),2)&gt;5,WEEKDAY(DATE(YEAR(H22),ROUNDUP(MONTH(H22)/3,0)*3+2,10),2)-5,0)))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IFERROR(IF(AND(O$12&lt;&gt;"",$H22&gt;O$12),0,IF($I22&lt;-100,0,IF(IF(AND($F$1="Да",$F$2=O$5),TRUE(),IF(K22="",$G22,K22)&gt;=O$5+60),IF($H22="","",IF(AND(O$1="МП",_xlfn.ISFORMULA(O22)),"Впиши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1.5,1.5*O$10))))),"Веха не участвует в расчете выплат за квартал"))),"")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IFERROR(IF(AND(T$12&lt;&gt;"",$H22&gt;T$12),0,IF($I22&lt;-100,0,IF(IF(AND($F$1="Да",$F$2=T$5),TRUE(),IF(P22="",$G22,P22)&gt;=T$5+60),IF($H22="","",IF(AND(T$1="МП",_xlfn.ISFORMULA(T22)),"Впиши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1.5,1.5*T$10))))),"Веха не участвует в расчете выплат за квартал"))),"")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IF(H23="","",(DATE(YEAR(H23),ROUNDUP(MONTH(H23)/3,0)*3+2,10)-IF(WEEKDAY(DATE(YEAR(H23),ROUNDUP(MONTH(H23)/3,0)*3+2,10),2)&gt;5,WEEKDAY(DATE(YEAR(H23),ROUNDUP(MONTH(H23)/3,0)*3+2,10),2)-5,0)))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IFERROR(IF(AND(O$12&lt;&gt;"",$H23&gt;O$12),0,IF($I23&lt;-100,0,IF(IF(AND($F$1="Да",$F$2=O$5),TRUE(),IF(K23="",$G23,K23)&gt;=O$5+60),IF($H23="","",IF(AND(O$1="МП",_xlfn.ISFORMULA(O23)),"Впиши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1.5,1.5*O$10))))),"Веха не участвует в расчете выплат за квартал"))),"")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IFERROR(IF(AND(T$12&lt;&gt;"",$H23&gt;T$12),0,IF($I23&lt;-100,0,IF(IF(AND($F$1="Да",$F$2=T$5),TRUE(),IF(P23="",$G23,P23)&gt;=T$5+60),IF($H23="","",IF(AND(T$1="МП",_xlfn.ISFORMULA(T23)),"Впиши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1.5,1.5*T$10))))),"Веха не участвует в расчете выплат за квартал"))),"")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IF(H24="","",(DATE(YEAR(H24),ROUNDUP(MONTH(H24)/3,0)*3+2,10)-IF(WEEKDAY(DATE(YEAR(H24),ROUNDUP(MONTH(H24)/3,0)*3+2,10),2)&gt;5,WEEKDAY(DATE(YEAR(H24),ROUNDUP(MONTH(H24)/3,0)*3+2,10),2)-5,0)))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IFERROR(IF(AND(O$12&lt;&gt;"",$H24&gt;O$12),0,IF($I24&lt;-100,0,IF(IF(AND($F$1="Да",$F$2=O$5),TRUE(),IF(K24="",$G24,K24)&gt;=O$5+60),IF($H24="","",IF(AND(O$1="МП",_xlfn.ISFORMULA(O24)),"Впиши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1.5,1.5*O$10))))),"Веха не участвует в расчете выплат за квартал"))),"")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IFERROR(IF(AND(T$12&lt;&gt;"",$H24&gt;T$12),0,IF($I24&lt;-100,0,IF(IF(AND($F$1="Да",$F$2=T$5),TRUE(),IF(P24="",$G24,P24)&gt;=T$5+60),IF($H24="","",IF(AND(T$1="МП",_xlfn.ISFORMULA(T24)),"Впиши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1.5,1.5*T$10))))),"Веха не участвует в расчете выплат за квартал"))),"")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IF(H25="","",(DATE(YEAR(H25),ROUNDUP(MONTH(H25)/3,0)*3+2,10)-IF(WEEKDAY(DATE(YEAR(H25),ROUNDUP(MONTH(H25)/3,0)*3+2,10),2)&gt;5,WEEKDAY(DATE(YEAR(H25),ROUNDUP(MONTH(H25)/3,0)*3+2,10),2)-5,0)))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IFERROR(IF(AND(O$12&lt;&gt;"",$H25&gt;O$12),0,IF($I25&lt;-100,0,IF(IF(AND($F$1="Да",$F$2=O$5),TRUE(),IF(K25="",$G25,K25)&gt;=O$5+60),IF($H25="","",IF(AND(O$1="МП",_xlfn.ISFORMULA(O25)),"Впиши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1.5,1.5*O$10))))),"Веха не участвует в расчете выплат за квартал"))),"")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IFERROR(IF(AND(T$12&lt;&gt;"",$H25&gt;T$12),0,IF($I25&lt;-100,0,IF(IF(AND($F$1="Да",$F$2=T$5),TRUE(),IF(P25="",$G25,P25)&gt;=T$5+60),IF($H25="","",IF(AND(T$1="МП",_xlfn.ISFORMULA(T25)),"Впиши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1.5,1.5*T$10))))),"Веха не участвует в расчете выплат за квартал"))),"")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IF(H26="","",(DATE(YEAR(H26),ROUNDUP(MONTH(H26)/3,0)*3+2,10)-IF(WEEKDAY(DATE(YEAR(H26),ROUNDUP(MONTH(H26)/3,0)*3+2,10),2)&gt;5,WEEKDAY(DATE(YEAR(H26),ROUNDUP(MONTH(H26)/3,0)*3+2,10),2)-5,0)))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IFERROR(IF(AND(O$12&lt;&gt;"",$H26&gt;O$12),0,IF($I26&lt;-100,0,IF(IF(AND($F$1="Да",$F$2=O$5),TRUE(),IF(K26="",$G26,K26)&gt;=O$5+60),IF($H26="","",IF(AND(O$1="МП",_xlfn.ISFORMULA(O26)),"Впиши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1.5,1.5*O$10))))),"Веха не участвует в расчете выплат за квартал"))),"")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IFERROR(IF(AND(T$12&lt;&gt;"",$H26&gt;T$12),0,IF($I26&lt;-100,0,IF(IF(AND($F$1="Да",$F$2=T$5),TRUE(),IF(P26="",$G26,P26)&gt;=T$5+60),IF($H26="","",IF(AND(T$1="МП",_xlfn.ISFORMULA(T26)),"Впиши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1.5,1.5*T$10))))),"Веха не участвует в расчете выплат за квартал"))),"")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IF(H27="","",(DATE(YEAR(H27),ROUNDUP(MONTH(H27)/3,0)*3+2,10)-IF(WEEKDAY(DATE(YEAR(H27),ROUNDUP(MONTH(H27)/3,0)*3+2,10),2)&gt;5,WEEKDAY(DATE(YEAR(H27),ROUNDUP(MONTH(H27)/3,0)*3+2,10),2)-5,0)))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IFERROR(IF(AND(O$12&lt;&gt;"",$H27&gt;O$12),0,IF($I27&lt;-100,0,IF(IF(AND($F$1="Да",$F$2=O$5),TRUE(),IF(K27="",$G27,K27)&gt;=O$5+60),IF($H27="","",IF(AND(O$1="МП",_xlfn.ISFORMULA(O27)),"Впиши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1.5,1.5*O$10))))),"Веха не участвует в расчете выплат за квартал"))),"")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IFERROR(IF(AND(T$12&lt;&gt;"",$H27&gt;T$12),0,IF($I27&lt;-100,0,IF(IF(AND($F$1="Да",$F$2=T$5),TRUE(),IF(P27="",$G27,P27)&gt;=T$5+60),IF($H27="","",IF(AND(T$1="МП",_xlfn.ISFORMULA(T27)),"Впиши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1.5,1.5*T$10))))),"Веха не участвует в расчете выплат за квартал"))),"")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IF(H28="","",(DATE(YEAR(H28),ROUNDUP(MONTH(H28)/3,0)*3+2,10)-IF(WEEKDAY(DATE(YEAR(H28),ROUNDUP(MONTH(H28)/3,0)*3+2,10),2)&gt;5,WEEKDAY(DATE(YEAR(H28),ROUNDUP(MONTH(H28)/3,0)*3+2,10),2)-5,0)))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IFERROR(IF(AND(O$12&lt;&gt;"",$H28&gt;O$12),0,IF($I28&lt;-100,0,IF(IF(AND($F$1="Да",$F$2=O$5),TRUE(),IF(K28="",$G28,K28)&gt;=O$5+60),IF($H28="","",IF(AND(O$1="МП",_xlfn.ISFORMULA(O28)),"Впиши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1.5,1.5*O$10))))),"Веха не участвует в расчете выплат за квартал"))),"")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IFERROR(IF(AND(T$12&lt;&gt;"",$H28&gt;T$12),0,IF($I28&lt;-100,0,IF(IF(AND($F$1="Да",$F$2=T$5),TRUE(),IF(P28="",$G28,P28)&gt;=T$5+60),IF($H28="","",IF(AND(T$1="МП",_xlfn.ISFORMULA(T28)),"Впиши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1.5,1.5*T$10))))),"Веха не участвует в расчете выплат за квартал"))),"")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IF(H29="","",(DATE(YEAR(H29),ROUNDUP(MONTH(H29)/3,0)*3+2,10)-IF(WEEKDAY(DATE(YEAR(H29),ROUNDUP(MONTH(H29)/3,0)*3+2,10),2)&gt;5,WEEKDAY(DATE(YEAR(H29),ROUNDUP(MONTH(H29)/3,0)*3+2,10),2)-5,0)))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IFERROR(IF(AND(O$12&lt;&gt;"",$H29&gt;O$12),0,IF($I29&lt;-100,0,IF(IF(AND($F$1="Да",$F$2=O$5),TRUE(),IF(K29="",$G29,K29)&gt;=O$5+60),IF($H29="","",IF(AND(O$1="МП",_xlfn.ISFORMULA(O29)),"Впиши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1.5,1.5*O$10))))),"Веха не участвует в расчете выплат за квартал"))),"")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IFERROR(IF(AND(T$12&lt;&gt;"",$H29&gt;T$12),0,IF($I29&lt;-100,0,IF(IF(AND($F$1="Да",$F$2=T$5),TRUE(),IF(P29="",$G29,P29)&gt;=T$5+60),IF($H29="","",IF(AND(T$1="МП",_xlfn.ISFORMULA(T29)),"Впиши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1.5,1.5*T$10))))),"Веха не участвует в расчете выплат за квартал"))),"")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IF(H30="","",(DATE(YEAR(H30),ROUNDUP(MONTH(H30)/3,0)*3+2,10)-IF(WEEKDAY(DATE(YEAR(H30),ROUNDUP(MONTH(H30)/3,0)*3+2,10),2)&gt;5,WEEKDAY(DATE(YEAR(H30),ROUNDUP(MONTH(H30)/3,0)*3+2,10),2)-5,0)))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IFERROR(IF(AND(O$12&lt;&gt;"",$H30&gt;O$12),0,IF($I30&lt;-100,0,IF(IF(AND($F$1="Да",$F$2=O$5),TRUE(),IF(K30="",$G30,K30)&gt;=O$5+60),IF($H30="","",IF(AND(O$1="МП",_xlfn.ISFORMULA(O30)),"Впиши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1.5,1.5*O$10))))),"Веха не участвует в расчете выплат за квартал"))),"")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IFERROR(IF(AND(T$12&lt;&gt;"",$H30&gt;T$12),0,IF($I30&lt;-100,0,IF(IF(AND($F$1="Да",$F$2=T$5),TRUE(),IF(P30="",$G30,P30)&gt;=T$5+60),IF($H30="","",IF(AND(T$1="МП",_xlfn.ISFORMULA(T30)),"Впиши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1.5,1.5*T$10))))),"Веха не участвует в расчете выплат за квартал"))),"")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IF(H31="","",(DATE(YEAR(H31),ROUNDUP(MONTH(H31)/3,0)*3+2,10)-IF(WEEKDAY(DATE(YEAR(H31),ROUNDUP(MONTH(H31)/3,0)*3+2,10),2)&gt;5,WEEKDAY(DATE(YEAR(H31),ROUNDUP(MONTH(H31)/3,0)*3+2,10),2)-5,0)))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IFERROR(IF(AND(O$12&lt;&gt;"",$H31&gt;O$12),0,IF($I31&lt;-100,0,IF(IF(AND($F$1="Да",$F$2=O$5),TRUE(),IF(K31="",$G31,K31)&gt;=O$5+60),IF($H31="","",IF(AND(O$1="МП",_xlfn.ISFORMULA(O31)),"Впиши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1.5,1.5*O$10))))),"Веха не участвует в расчете выплат за квартал"))),"")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IFERROR(IF(AND(T$12&lt;&gt;"",$H31&gt;T$12),0,IF($I31&lt;-100,0,IF(IF(AND($F$1="Да",$F$2=T$5),TRUE(),IF(P31="",$G31,P31)&gt;=T$5+60),IF($H31="","",IF(AND(T$1="МП",_xlfn.ISFORMULA(T31)),"Впиши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1.5,1.5*T$10))))),"Веха не участвует в расчете выплат за квартал"))),"")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IF(H32="","",(DATE(YEAR(H32),ROUNDUP(MONTH(H32)/3,0)*3+2,10)-IF(WEEKDAY(DATE(YEAR(H32),ROUNDUP(MONTH(H32)/3,0)*3+2,10),2)&gt;5,WEEKDAY(DATE(YEAR(H32),ROUNDUP(MONTH(H32)/3,0)*3+2,10),2)-5,0)))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IFERROR(IF(AND(O$12&lt;&gt;"",$H32&gt;O$12),0,IF($I32&lt;-100,0,IF(IF(AND($F$1="Да",$F$2=O$5),TRUE(),IF(K32="",$G32,K32)&gt;=O$5+60),IF($H32="","",IF(AND(O$1="МП",_xlfn.ISFORMULA(O32)),"Впиши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1.5,1.5*O$10))))),"Веха не участвует в расчете выплат за квартал"))),"")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IFERROR(IF(AND(T$12&lt;&gt;"",$H32&gt;T$12),0,IF($I32&lt;-100,0,IF(IF(AND($F$1="Да",$F$2=T$5),TRUE(),IF(P32="",$G32,P32)&gt;=T$5+60),IF($H32="","",IF(AND(T$1="МП",_xlfn.ISFORMULA(T32)),"Впиши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1.5,1.5*T$10))))),"Веха не участвует в расчете выплат за квартал"))),"")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IF(H33="","",(DATE(YEAR(H33),ROUNDUP(MONTH(H33)/3,0)*3+2,10)-IF(WEEKDAY(DATE(YEAR(H33),ROUNDUP(MONTH(H33)/3,0)*3+2,10),2)&gt;5,WEEKDAY(DATE(YEAR(H33),ROUNDUP(MONTH(H33)/3,0)*3+2,10),2)-5,0)))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IFERROR(IF(AND(O$12&lt;&gt;"",$H33&gt;O$12),0,IF($I33&lt;-100,0,IF(IF(AND($F$1="Да",$F$2=O$5),TRUE(),IF(K33="",$G33,K33)&gt;=O$5+60),IF($H33="","",IF(AND(O$1="МП",_xlfn.ISFORMULA(O33)),"Впиши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1.5,1.5*O$10))))),"Веха не участвует в расчете выплат за квартал"))),"")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IFERROR(IF(AND(T$12&lt;&gt;"",$H33&gt;T$12),0,IF($I33&lt;-100,0,IF(IF(AND($F$1="Да",$F$2=T$5),TRUE(),IF(P33="",$G33,P33)&gt;=T$5+60),IF($H33="","",IF(AND(T$1="МП",_xlfn.ISFORMULA(T33)),"Впиши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1.5,1.5*T$10))))),"Веха не участвует в расчете выплат за квартал"))),"")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IF(H34="","",(DATE(YEAR(H34),ROUNDUP(MONTH(H34)/3,0)*3+2,10)-IF(WEEKDAY(DATE(YEAR(H34),ROUNDUP(MONTH(H34)/3,0)*3+2,10),2)&gt;5,WEEKDAY(DATE(YEAR(H34),ROUNDUP(MONTH(H34)/3,0)*3+2,10),2)-5,0)))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IFERROR(IF(AND(O$12&lt;&gt;"",$H34&gt;O$12),0,IF($I34&lt;-100,0,IF(IF(AND($F$1="Да",$F$2=O$5),TRUE(),IF(K34="",$G34,K34)&gt;=O$5+60),IF($H34="","",IF(AND(O$1="МП",_xlfn.ISFORMULA(O34)),"Впиши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1.5,1.5*O$10))))),"Веха не участвует в расчете выплат за квартал"))),"")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IFERROR(IF(AND(T$12&lt;&gt;"",$H34&gt;T$12),0,IF($I34&lt;-100,0,IF(IF(AND($F$1="Да",$F$2=T$5),TRUE(),IF(P34="",$G34,P34)&gt;=T$5+60),IF($H34="","",IF(AND(T$1="МП",_xlfn.ISFORMULA(T34)),"Впиши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1.5,1.5*T$10))))),"Веха не участвует в расчете выплат за квартал"))),"")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IF(H35="","",(DATE(YEAR(H35),ROUNDUP(MONTH(H35)/3,0)*3+2,10)-IF(WEEKDAY(DATE(YEAR(H35),ROUNDUP(MONTH(H35)/3,0)*3+2,10),2)&gt;5,WEEKDAY(DATE(YEAR(H35),ROUNDUP(MONTH(H35)/3,0)*3+2,10),2)-5,0)))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IFERROR(IF(AND(O$12&lt;&gt;"",$H35&gt;O$12),0,IF($I35&lt;-100,0,IF(IF(AND($F$1="Да",$F$2=O$5),TRUE(),IF(K35="",$G35,K35)&gt;=O$5+60),IF($H35="","",IF(AND(O$1="МП",_xlfn.ISFORMULA(O35)),"Впиши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1.5,1.5*O$10))))),"Веха не участвует в расчете выплат за квартал"))),"")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IFERROR(IF(AND(T$12&lt;&gt;"",$H35&gt;T$12),0,IF($I35&lt;-100,0,IF(IF(AND($F$1="Да",$F$2=T$5),TRUE(),IF(P35="",$G35,P35)&gt;=T$5+60),IF($H35="","",IF(AND(T$1="МП",_xlfn.ISFORMULA(T35)),"Впиши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1.5,1.5*T$10))))),"Веха не участвует в расчете выплат за квартал"))),"")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36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IF(H36="","",(DATE(YEAR(H36),ROUNDUP(MONTH(H36)/3,0)*3+2,10)-IF(WEEKDAY(DATE(YEAR(H36),ROUNDUP(MONTH(H36)/3,0)*3+2,10),2)&gt;5,WEEKDAY(DATE(YEAR(H36),ROUNDUP(MONTH(H36)/3,0)*3+2,10),2)-5,0)))</f>
        <v>46336</v>
      </c>
      <c r="K36" s="81"/>
      <c r="L36" s="82"/>
      <c r="M36" s="83" t="s">
        <v>37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1189084.93150685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>Расчёт при NPV = 5000000 000 ₽. Коэф. фин. рез. = 1</v>
      </c>
      <c r="P36" s="81"/>
      <c r="Q36" s="82"/>
      <c r="R36" s="83" t="s">
        <v>37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1189084.93150685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38</v>
      </c>
      <c r="F37" s="89"/>
      <c r="G37" s="88"/>
      <c r="H37" s="90" t="n">
        <f aca="false">IF(H36="","",H36)</f>
        <v>46295</v>
      </c>
      <c r="I37" s="88"/>
      <c r="J37" s="91" t="n">
        <f aca="false">IF(H37="","",(DATE(YEAR(H37),ROUNDUP(MONTH(H37)/3,0)*3+2,10)-IF(WEEKDAY(DATE(YEAR(H37),ROUNDUP(MONTH(H37)/3,0)*3+2,10),2)&gt;5,WEEKDAY(DATE(YEAR(H37),ROUNDUP(MONTH(H37)/3,0)*3+2,10),2)-5,0)))</f>
        <v>46336</v>
      </c>
      <c r="K37" s="92"/>
      <c r="L37" s="93"/>
      <c r="M37" s="94" t="s">
        <v>39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667945.384424845</v>
      </c>
      <c r="O37" s="96" t="n">
        <v>5000000000</v>
      </c>
      <c r="P37" s="92"/>
      <c r="Q37" s="93"/>
      <c r="R37" s="94" t="s">
        <v>39</v>
      </c>
      <c r="S37" s="95" t="n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1335890.76884969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40</v>
      </c>
      <c r="F38" s="100"/>
      <c r="G38" s="101" t="s">
        <v>41</v>
      </c>
      <c r="H38" s="102" t="n">
        <f aca="false">IF(H36="","",H36+90)</f>
        <v>46385</v>
      </c>
      <c r="I38" s="103"/>
      <c r="J38" s="104" t="n">
        <f aca="false">IF(H38="","",(DATE(YEAR(H38),ROUNDUP(MONTH(H38)/3,0)*3+2,10)-IF(WEEKDAY(DATE(YEAR(H38),ROUNDUP(MONTH(H38)/3,0)*3+2,10),2)&gt;5,WEEKDAY(DATE(YEAR(H38),ROUNDUP(MONTH(H38)/3,0)*3+2,10),2)-5,0)))</f>
        <v>46428</v>
      </c>
      <c r="K38" s="105"/>
      <c r="L38" s="106"/>
      <c r="M38" s="107" t="str">
        <f aca="false">(IF(OR(O$1="КУПК",O$1="КУПК (РП/ЗРП)"),"К выплате с процентами:",""))</f>
        <v>К выплате с процентами:</v>
      </c>
      <c r="N38" s="108" t="n">
        <f aca="false">IF(OR(O$1="МП",O1="РУПК"),"",IF(N$36="","",IF(N$36&lt;0,0,IF(O$38="","Зафиксируй NPV для расчета в комментарии!",IF(O$38&gt;=O$37,N$36*25%+VLOOKUP(O$3,'проценты на отложенную часть'!$B$6:$H$37,5,0),"Выплаты приостановлены")))))</f>
        <v>347896.931056483</v>
      </c>
      <c r="O38" s="109" t="n">
        <v>5000000000</v>
      </c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комментарии!",IF(T$38&gt;=T$37,S$36*25%+VLOOKUP(T$3,'проценты на отложенную часть'!$B$6:$H$37,5,0),"Выплаты приостановлены")))))</f>
        <v/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42</v>
      </c>
      <c r="F39" s="113"/>
      <c r="G39" s="114" t="s">
        <v>43</v>
      </c>
      <c r="H39" s="115" t="n">
        <f aca="false">IF(H36="","",H38+90)</f>
        <v>46475</v>
      </c>
      <c r="I39" s="111"/>
      <c r="J39" s="116" t="n">
        <f aca="false">IF(H39="","",(DATE(YEAR(H39),ROUNDUP(MONTH(H39)/3,0)*3+2,10)-IF(WEEKDAY(DATE(YEAR(H39),ROUNDUP(MONTH(H39)/3,0)*3+2,10),2)&gt;5,WEEKDAY(DATE(YEAR(H39),ROUNDUP(MONTH(H39)/3,0)*3+2,10),2)-5,0)))</f>
        <v>46517</v>
      </c>
      <c r="K39" s="117"/>
      <c r="L39" s="118"/>
      <c r="M39" s="119" t="str">
        <f aca="false">(IF(OR(O$1="КУПК",O$1="КУПК (РП/ЗРП)"),"К выплате с процентами:",""))</f>
        <v>К выплате с процентами:</v>
      </c>
      <c r="N39" s="120" t="n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приостановлены",IF(O$39&gt;=O$37,N$36*25%+VLOOKUP(O$3,'проценты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NPV"),IF(O$39&gt;=O$37,N$36*25%+VLOOKUP(O$3,'проценты на отложенную часть'!$B$6:$H$37,6,0),"Выплаты приостановлены"))))))</f>
        <v>361367.11863389</v>
      </c>
      <c r="O39" s="121" t="n">
        <v>5000000000</v>
      </c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приостановлены",IF(T$39&gt;=T$37,S$36*25%+VLOOKUP(T$3,'проценты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NPV"),IF(T$39&gt;=T$37,S$36*25%+VLOOKUP(T$3,'проценты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44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45</v>
      </c>
      <c r="L44" s="124" t="s">
        <v>46</v>
      </c>
      <c r="M44" s="124" t="s">
        <v>47</v>
      </c>
      <c r="N44" s="124" t="s">
        <v>48</v>
      </c>
      <c r="O44" s="124" t="s">
        <v>49</v>
      </c>
      <c r="P44" s="124" t="s">
        <v>45</v>
      </c>
      <c r="Q44" s="124" t="s">
        <v>46</v>
      </c>
      <c r="R44" s="124" t="s">
        <v>47</v>
      </c>
      <c r="S44" s="124" t="s">
        <v>48</v>
      </c>
      <c r="T44" s="124" t="s">
        <v>49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 t="n">
        <v>45748</v>
      </c>
      <c r="Q45" s="125" t="n">
        <v>46295</v>
      </c>
      <c r="R45" s="126" t="n">
        <v>1</v>
      </c>
      <c r="S45" s="127" t="n">
        <v>2400000</v>
      </c>
      <c r="T45" s="127" t="n">
        <f aca="false">S45/365*(Q45-P45+1)*R45</f>
        <v>3603287.67123288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50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10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51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Двадцать Шесть</v>
      </c>
      <c r="C6" s="137" t="str">
        <f aca="false">IFERROR(INDEX(калькулятор!$1:$3,1,MATCH(B6,калькулятор!$3:$3,0)),"")</f>
        <v>КУПК</v>
      </c>
      <c r="D6" s="138" t="str">
        <f aca="false">IF(B6="","",IF(OR($C6="КУПК",$C6="КУПК (РП/ЗРП)"),"",VLOOKUP($B6,$B$39:$S$1353,10,0)))</f>
        <v/>
      </c>
      <c r="E6" s="138" t="n">
        <f aca="false">IF($B6="","",IF(OR($C6="МП",$C6="РУПК"),"",VLOOKUP($B6,$B$39:$S$1353,10,0)))</f>
        <v>73402.9186714205</v>
      </c>
      <c r="F6" s="138" t="n">
        <f aca="false">IF($B6="","",IF(OR($C6="МП",$C6="РУПК"),"",VLOOKUP($B6,$B$39:$S$1353,13,0)))</f>
        <v>50625.6981797711</v>
      </c>
      <c r="G6" s="138" t="n">
        <f aca="false">IF($B6="","",IF(OR($C6="МП",$C6="РУПК"),"",VLOOKUP($B6,$B$39:$S$1353,16,0)))</f>
        <v>64095.8857571777</v>
      </c>
      <c r="H6" s="138" t="n">
        <f aca="false">IF(B6="","",SUM(D6:G6))</f>
        <v>188124.502608369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>Тестова Двадцать Семь</v>
      </c>
      <c r="C7" s="137" t="str">
        <f aca="false">IFERROR(INDEX(калькулятор!$1:$3,1,MATCH(B7,калькулятор!$3:$3,0)),"")</f>
        <v>РУПК</v>
      </c>
      <c r="D7" s="138" t="n">
        <f aca="false">IF(B7="","",IF(OR($C7="КУПК",$C7="КУПК (РП/ЗРП)"),"",VLOOKUP($B7,$B$39:$S$1353,10,0)))</f>
        <v>146805.837342841</v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n">
        <f aca="false">IF(B7="","",SUM(D7:G7))</f>
        <v>146805.837342841</v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Двадцать Шесть</v>
      </c>
      <c r="C39" s="142" t="str">
        <f aca="false">INDEX(калькулятор!$1:$3,1,MATCH(B39,калькулятор!$3:$3,0))</f>
        <v>КУПК</v>
      </c>
      <c r="D39" s="143"/>
      <c r="E39" s="143"/>
      <c r="F39" s="144"/>
      <c r="G39" s="144"/>
      <c r="H39" s="144"/>
      <c r="I39" s="145" t="s">
        <v>52</v>
      </c>
      <c r="J39" s="143" t="s">
        <v>53</v>
      </c>
      <c r="K39" s="146" t="n">
        <f aca="false">SUM(K46:K69)</f>
        <v>73402.9186714205</v>
      </c>
      <c r="L39" s="147"/>
      <c r="M39" s="147"/>
      <c r="N39" s="146" t="n">
        <f aca="false">SUM(N46:N69)</f>
        <v>50625.6981797711</v>
      </c>
      <c r="O39" s="147"/>
      <c r="P39" s="147"/>
      <c r="Q39" s="146" t="n">
        <f aca="false">SUM(Q46:Q69)</f>
        <v>64095.8857571777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54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1 выплата (50%)</v>
      </c>
      <c r="J43" s="156"/>
      <c r="K43" s="156"/>
      <c r="L43" s="157" t="str">
        <f aca="false">IF(OR(C39="КУПК",C39="КУПК (РП/ЗРП)"),"2 выплата (25%)","Выплата")</f>
        <v>2 выплата (25%)</v>
      </c>
      <c r="M43" s="157"/>
      <c r="N43" s="157"/>
      <c r="O43" s="158" t="str">
        <f aca="false">IF(OR(C39="КУПК",C39="КУПК (РП/ЗРП)"),"3 выплата (25%)","Выплата")</f>
        <v>3 выплата (25%)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55</v>
      </c>
      <c r="D44" s="159" t="n">
        <f aca="false">HLOOKUP(B39,калькулятор!$3:$5,3,0)</f>
        <v>45748</v>
      </c>
      <c r="I44" s="160" t="s">
        <v>56</v>
      </c>
      <c r="J44" s="161"/>
      <c r="K44" s="162" t="n">
        <f aca="false">D67</f>
        <v>46336</v>
      </c>
      <c r="L44" s="163" t="s">
        <v>56</v>
      </c>
      <c r="M44" s="163"/>
      <c r="N44" s="163" t="n">
        <f aca="false">D68</f>
        <v>46428</v>
      </c>
      <c r="O44" s="163" t="s">
        <v>56</v>
      </c>
      <c r="P44" s="163"/>
      <c r="Q44" s="163" t="n">
        <f aca="false">D69</f>
        <v>46517</v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57</v>
      </c>
      <c r="C45" s="165" t="s">
        <v>58</v>
      </c>
      <c r="D45" s="166" t="s">
        <v>59</v>
      </c>
      <c r="E45" s="166" t="s">
        <v>60</v>
      </c>
      <c r="F45" s="167" t="s">
        <v>61</v>
      </c>
      <c r="H45" s="168"/>
      <c r="I45" s="169" t="s">
        <v>62</v>
      </c>
      <c r="J45" s="163" t="s">
        <v>63</v>
      </c>
      <c r="K45" s="170" t="s">
        <v>64</v>
      </c>
      <c r="L45" s="169" t="s">
        <v>62</v>
      </c>
      <c r="M45" s="163" t="s">
        <v>63</v>
      </c>
      <c r="N45" s="171" t="s">
        <v>64</v>
      </c>
      <c r="O45" s="172" t="s">
        <v>62</v>
      </c>
      <c r="P45" s="163" t="s">
        <v>63</v>
      </c>
      <c r="Q45" s="171" t="s">
        <v>64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402367.123287671</v>
      </c>
      <c r="D46" s="175" t="n">
        <f aca="false">IFERROR(IF(VLOOKUP(B46,калькулятор!E:J,6,0)=0,"",VLOOKUP(B46,калькулятор!E:J,6,0)),"")</f>
        <v>45877</v>
      </c>
      <c r="E46" s="176" t="n">
        <f aca="false">IF(B46="Финальная веха*",0,IF(D46="","",IF(B46="","",IFERROR(C46/67*33,""))))</f>
        <v>198180.821917808</v>
      </c>
      <c r="F46" s="177"/>
      <c r="H46" s="130"/>
      <c r="I46" s="178" t="n">
        <v>0.21</v>
      </c>
      <c r="J46" s="179" t="n">
        <f aca="false">IFERROR(K44-D46,"")</f>
        <v>459</v>
      </c>
      <c r="K46" s="180" t="n">
        <f aca="false">IFERROR(IF(OR(C39="КУПК",C39="КУПК (РП/ЗРП)"),E46*I46/365*J46*0.5,E46*I46/365*J46),"")</f>
        <v>26168.0129104898</v>
      </c>
      <c r="L46" s="178" t="n">
        <f aca="false">I46</f>
        <v>0.21</v>
      </c>
      <c r="M46" s="179" t="n">
        <f aca="false">IFERROR(N44-$D46,"")</f>
        <v>551</v>
      </c>
      <c r="N46" s="180" t="n">
        <f aca="false">IFERROR(IF(OR(C39="КУПК",C39="КУПК (РП/ЗРП)"),E46*L46/365*M46*0.25,0),"")</f>
        <v>15706.5088384312</v>
      </c>
      <c r="O46" s="181" t="n">
        <f aca="false">I46</f>
        <v>0.21</v>
      </c>
      <c r="P46" s="179" t="n">
        <f aca="false">IFERROR(Q44-$D46,"")</f>
        <v>640</v>
      </c>
      <c r="Q46" s="180" t="n">
        <f aca="false">IFERROR(IF(OR(C39="КУПК",C39="КУПК (РП/ЗРП)"),E46*O46/365*P46*0.25,0),"")</f>
        <v>18243.4948395571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402367.123287671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198180.821917808</v>
      </c>
      <c r="F47" s="177"/>
      <c r="H47" s="130"/>
      <c r="I47" s="178" t="n">
        <v>0.2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19818.0821917808</v>
      </c>
      <c r="L47" s="178" t="n">
        <f aca="false">I47</f>
        <v>0.2</v>
      </c>
      <c r="M47" s="179" t="n">
        <f aca="false">IFERROR(N44-$D47,"")</f>
        <v>457</v>
      </c>
      <c r="N47" s="180" t="n">
        <f aca="false">IFERROR(IF(OR(C39="КУПК",C39="КУПК (РП/ЗРП)"),E47*L47/365*M47*0.25,0),"")</f>
        <v>12406.6624132107</v>
      </c>
      <c r="O47" s="181" t="n">
        <f aca="false">I47</f>
        <v>0.2</v>
      </c>
      <c r="P47" s="179" t="n">
        <f aca="false">IFERROR(Q44-$D47,"")</f>
        <v>546</v>
      </c>
      <c r="Q47" s="180" t="n">
        <f aca="false">IFERROR(IF(OR(C39="КУПК",C39="КУПК (РП/ЗРП)"),E47*O47/365*P47*0.25,0),"")</f>
        <v>14822.8395571402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402367.123287671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198180.821917808</v>
      </c>
      <c r="F48" s="177"/>
      <c r="H48" s="130"/>
      <c r="I48" s="178" t="n">
        <v>0.19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14081.6975792832</v>
      </c>
      <c r="L48" s="178" t="n">
        <f aca="false">I48</f>
        <v>0.19</v>
      </c>
      <c r="M48" s="179" t="n">
        <f aca="false">IFERROR(N44-$D48,"")</f>
        <v>365</v>
      </c>
      <c r="N48" s="180" t="n">
        <f aca="false">IFERROR(IF(OR(C39="КУПК",C39="КУПК (РП/ЗРП)"),E48*L48/365*M48*0.25,0),"")</f>
        <v>9413.58904109589</v>
      </c>
      <c r="O48" s="181" t="n">
        <f aca="false">I48</f>
        <v>0.19</v>
      </c>
      <c r="P48" s="179" t="n">
        <f aca="false">IFERROR(Q44-$D48,"")</f>
        <v>454</v>
      </c>
      <c r="Q48" s="180" t="n">
        <f aca="false">IFERROR(IF(OR(C39="КУПК",C39="КУПК (РП/ЗРП)"),E48*O48/365*P48*0.25,0),"")</f>
        <v>11708.9573278289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402367.123287671</v>
      </c>
      <c r="D49" s="175" t="n">
        <f aca="false">IFERROR(IF(VLOOKUP(B49,калькулятор!E:J,6,0)=0,"",VLOOKUP(B49,калькулятор!E:J,6,0)),"")</f>
        <v>46150</v>
      </c>
      <c r="E49" s="176" t="n">
        <f aca="false">IF(B49="Финальная веха*",0,IF(D49="","",IF(B49="","",IFERROR(C49/67*33,""))))</f>
        <v>198180.821917808</v>
      </c>
      <c r="F49" s="177"/>
      <c r="H49" s="130"/>
      <c r="I49" s="178" t="n">
        <v>0.18</v>
      </c>
      <c r="J49" s="179" t="n">
        <f aca="false">IFERROR(K44-D49,"")</f>
        <v>186</v>
      </c>
      <c r="K49" s="180" t="n">
        <f aca="false">IFERROR(IF(OR(C39="КУПК",C39="КУПК (РП/ЗРП)"),E49*I49/365*J49*0.5,E49*I49/365*J49),"")</f>
        <v>9089.16975042222</v>
      </c>
      <c r="L49" s="178" t="n">
        <f aca="false">I49</f>
        <v>0.18</v>
      </c>
      <c r="M49" s="179" t="n">
        <f aca="false">IFERROR(N44-$D49,"")</f>
        <v>278</v>
      </c>
      <c r="N49" s="180" t="n">
        <f aca="false">IFERROR(IF(OR(C39="КУПК",C39="КУПК (РП/ЗРП)"),E49*L49/365*M49*0.25,0),"")</f>
        <v>6792.4440607994</v>
      </c>
      <c r="O49" s="181" t="n">
        <f aca="false">I49</f>
        <v>0.18</v>
      </c>
      <c r="P49" s="179" t="n">
        <f aca="false">IFERROR(Q44-$D49,"")</f>
        <v>367</v>
      </c>
      <c r="Q49" s="180" t="n">
        <f aca="false">IFERROR(IF(OR(C39="КУПК",C39="КУПК (РП/ЗРП)"),E49*O49/365*P49*0.25,0),"")</f>
        <v>8967.0034903359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402367.123287671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198180.821917808</v>
      </c>
      <c r="F50" s="182"/>
      <c r="H50" s="130"/>
      <c r="I50" s="178" t="n">
        <v>0.17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4245.95623944455</v>
      </c>
      <c r="L50" s="178" t="n">
        <f aca="false">I50</f>
        <v>0.17</v>
      </c>
      <c r="M50" s="179" t="n">
        <f aca="false">IFERROR(N44-$D50,"")</f>
        <v>184</v>
      </c>
      <c r="N50" s="180" t="n">
        <f aca="false">IFERROR(IF(OR(C39="КУПК",C39="КУПК (РП/ЗРП)"),E50*L50/365*M50*0.25,0),"")</f>
        <v>4245.95623944455</v>
      </c>
      <c r="O50" s="181" t="n">
        <f aca="false">I50</f>
        <v>0.17</v>
      </c>
      <c r="P50" s="179" t="n">
        <f aca="false">IFERROR(Q44-$D50,"")</f>
        <v>273</v>
      </c>
      <c r="Q50" s="180" t="n">
        <f aca="false">IFERROR(IF(OR(C39="КУПК",C39="КУПК (РП/ЗРП)"),E50*O50/365*P50*0.25,0),"")</f>
        <v>6299.70681178458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402367.123287671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198180.821917808</v>
      </c>
      <c r="F51" s="177"/>
      <c r="H51" s="130"/>
      <c r="I51" s="178" t="n">
        <v>0.165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0.165</v>
      </c>
      <c r="M51" s="179" t="n">
        <f aca="false">IFERROR(N44-$D51,"")</f>
        <v>92</v>
      </c>
      <c r="N51" s="180" t="n">
        <f aca="false">IFERROR(IF(OR(C39="КУПК",C39="КУПК (РП/ЗРП)"),E51*L51/365*M51*0.25,0),"")</f>
        <v>2060.53758678927</v>
      </c>
      <c r="O51" s="181" t="n">
        <f aca="false">I51</f>
        <v>0.165</v>
      </c>
      <c r="P51" s="179" t="n">
        <f aca="false">IFERROR(Q44-$D51,"")</f>
        <v>181</v>
      </c>
      <c r="Q51" s="180" t="n">
        <f aca="false">IFERROR(IF(OR(C39="КУПК",C39="КУПК (РП/ЗРП)"),E51*O51/365*P51*0.25,0),"")</f>
        <v>4053.88373053106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str">
        <f aca="false">IFERROR(IF(OR(C39="КУПК",C39="КУПК (РП/ЗРП)"),E52*L52/365*M52*0.25,0),"")</f>
        <v/>
      </c>
      <c r="O52" s="181" t="n">
        <f aca="false">I52</f>
        <v>0</v>
      </c>
      <c r="P52" s="179" t="str">
        <f aca="false">IFERROR(Q44-$D52,"")</f>
        <v/>
      </c>
      <c r="Q52" s="180" t="str">
        <f aca="false">IFERROR(IF(OR(C39="КУПК",C39="КУПК (РП/ЗРП)"),E52*O52/365*P52*0.25,0),"")</f>
        <v/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str">
        <f aca="false">IFERROR(IF(OR(C39="КУПК",C39="КУПК (РП/ЗРП)"),E53*L53/365*M53*0.25,0),"")</f>
        <v/>
      </c>
      <c r="O53" s="181" t="n">
        <f aca="false">I53</f>
        <v>0</v>
      </c>
      <c r="P53" s="179" t="str">
        <f aca="false">IFERROR(Q44-$D53,"")</f>
        <v/>
      </c>
      <c r="Q53" s="180" t="str">
        <f aca="false">IFERROR(IF(OR(C39="КУПК",C39="КУПК (РП/ЗРП)"),E53*O53/365*P53*0.25,0),"")</f>
        <v/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str">
        <f aca="false">IFERROR(IF(OR(C39="КУПК",C39="КУПК (РП/ЗРП)"),E54*L54/365*M54*0.25,0),"")</f>
        <v/>
      </c>
      <c r="O54" s="181" t="n">
        <f aca="false">I54</f>
        <v>0</v>
      </c>
      <c r="P54" s="179" t="str">
        <f aca="false">IFERROR(Q44-$D54,"")</f>
        <v/>
      </c>
      <c r="Q54" s="180" t="str">
        <f aca="false">IFERROR(IF(OR(C39="КУПК",C39="КУПК (РП/ЗРП)"),E54*O54/365*P54*0.25,0),"")</f>
        <v/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str">
        <f aca="false">IFERROR(IF(OR(C39="КУПК",C39="КУПК (РП/ЗРП)"),E55*L55/365*M55*0.25,0),"")</f>
        <v/>
      </c>
      <c r="O55" s="181" t="n">
        <f aca="false">I55</f>
        <v>0</v>
      </c>
      <c r="P55" s="179" t="str">
        <f aca="false">IFERROR(Q44-$D55,"")</f>
        <v/>
      </c>
      <c r="Q55" s="180" t="str">
        <f aca="false">IFERROR(IF(OR(C39="КУПК",C39="КУПК (РП/ЗРП)"),E55*O55/365*P55*0.25,0),"")</f>
        <v/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str">
        <f aca="false">IFERROR(IF(OR(C39="КУПК",C39="КУПК (РП/ЗРП)"),E56*L56/365*M56*0.25,0),"")</f>
        <v/>
      </c>
      <c r="O56" s="181" t="n">
        <f aca="false">I56</f>
        <v>0</v>
      </c>
      <c r="P56" s="179" t="str">
        <f aca="false">IFERROR(Q44-$D56,"")</f>
        <v/>
      </c>
      <c r="Q56" s="180" t="str">
        <f aca="false">IFERROR(IF(OR(C39="КУПК",C39="КУПК (РП/ЗРП)"),E56*O56/365*P56*0.25,0),"")</f>
        <v/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str">
        <f aca="false">IFERROR(IF(OR(C39="КУПК",C39="КУПК (РП/ЗРП)"),E57*L57/365*M57*0.25,0),"")</f>
        <v/>
      </c>
      <c r="O57" s="181" t="n">
        <f aca="false">I57</f>
        <v>0</v>
      </c>
      <c r="P57" s="179" t="str">
        <f aca="false">IFERROR(Q44-$D57,"")</f>
        <v/>
      </c>
      <c r="Q57" s="180" t="str">
        <f aca="false">IFERROR(IF(OR(C39="КУПК",C39="КУПК (РП/ЗРП)"),E57*O57/365*P57*0.25,0),"")</f>
        <v/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str">
        <f aca="false">IFERROR(IF(OR(C39="КУПК",C39="КУПК (РП/ЗРП)"),E58*L58/365*M58*0.25,0),"")</f>
        <v/>
      </c>
      <c r="O58" s="181" t="n">
        <f aca="false">I58</f>
        <v>0</v>
      </c>
      <c r="P58" s="179" t="str">
        <f aca="false">IFERROR(Q44-$D58,"")</f>
        <v/>
      </c>
      <c r="Q58" s="180" t="str">
        <f aca="false">IFERROR(IF(OR(C39="КУПК",C39="КУПК (РП/ЗРП)"),E58*O58/365*P58*0.25,0),"")</f>
        <v/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str">
        <f aca="false">IFERROR(IF(OR(C39="КУПК",C39="КУПК (РП/ЗРП)"),E59*L59/365*M59*0.25,0),"")</f>
        <v/>
      </c>
      <c r="O59" s="181" t="n">
        <f aca="false">I59</f>
        <v>0</v>
      </c>
      <c r="P59" s="179" t="str">
        <f aca="false">IFERROR(Q44-$D59,"")</f>
        <v/>
      </c>
      <c r="Q59" s="180" t="str">
        <f aca="false">IFERROR(IF(OR(C39="КУПК",C39="КУПК (РП/ЗРП)"),E59*O59/365*P59*0.25,0),"")</f>
        <v/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str">
        <f aca="false">IFERROR(IF(OR(C39="КУПК",C39="КУПК (РП/ЗРП)"),E60*L60/365*M60*0.25,0),"")</f>
        <v/>
      </c>
      <c r="O60" s="181" t="n">
        <f aca="false">I60</f>
        <v>0</v>
      </c>
      <c r="P60" s="179" t="str">
        <f aca="false">IFERROR(Q44-$D60,"")</f>
        <v/>
      </c>
      <c r="Q60" s="180" t="str">
        <f aca="false">IFERROR(IF(OR(C39="КУПК",C39="КУПК (РП/ЗРП)"),E60*O60/365*P60*0.25,0),"")</f>
        <v/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str">
        <f aca="false">IFERROR(IF(OR(C39="КУПК",C39="КУПК (РП/ЗРП)"),E61*L61/365*M61*0.25,0),"")</f>
        <v/>
      </c>
      <c r="O61" s="181" t="n">
        <f aca="false">I61</f>
        <v>0</v>
      </c>
      <c r="P61" s="179" t="str">
        <f aca="false">IFERROR(Q44-$D61,"")</f>
        <v/>
      </c>
      <c r="Q61" s="180" t="str">
        <f aca="false">IFERROR(IF(OR(C39="КУПК",C39="КУПК (РП/ЗРП)"),E61*O61/365*P61*0.25,0),"")</f>
        <v/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str">
        <f aca="false">IFERROR(IF(OR(C39="КУПК",C39="КУПК (РП/ЗРП)"),E62*L62/365*M62*0.25,0),"")</f>
        <v/>
      </c>
      <c r="O62" s="181" t="n">
        <f aca="false">I62</f>
        <v>0</v>
      </c>
      <c r="P62" s="179" t="str">
        <f aca="false">IFERROR(Q44-$D62,"")</f>
        <v/>
      </c>
      <c r="Q62" s="180" t="str">
        <f aca="false">IFERROR(IF(OR(C39="КУПК",C39="КУПК (РП/ЗРП)"),E62*O62/365*P62*0.25,0),"")</f>
        <v/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str">
        <f aca="false">IFERROR(IF(OR(C39="КУПК",C39="КУПК (РП/ЗРП)"),E63*L63/365*M63*0.25,0),"")</f>
        <v/>
      </c>
      <c r="O63" s="181" t="n">
        <f aca="false">I63</f>
        <v>0</v>
      </c>
      <c r="P63" s="179" t="str">
        <f aca="false">IFERROR(Q44-$D63,"")</f>
        <v/>
      </c>
      <c r="Q63" s="180" t="str">
        <f aca="false">IFERROR(IF(OR(C39="КУПК",C39="КУПК (РП/ЗРП)"),E63*O63/365*P63*0.25,0),"")</f>
        <v/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str">
        <f aca="false">IFERROR(IF(OR(C39="КУПК",C39="КУПК (РП/ЗРП)"),E64*L64/365*M64*0.25,0),"")</f>
        <v/>
      </c>
      <c r="O64" s="181" t="n">
        <f aca="false">I64</f>
        <v>0</v>
      </c>
      <c r="P64" s="179" t="str">
        <f aca="false">IFERROR(Q44-$D64,"")</f>
        <v/>
      </c>
      <c r="Q64" s="180" t="str">
        <f aca="false">IFERROR(IF(OR(C39="КУПК",C39="КУПК (РП/ЗРП)"),E64*O64/365*P64*0.25,0),"")</f>
        <v/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str">
        <f aca="false">IFERROR(IF(OR(C39="КУПК",C39="КУПК (РП/ЗРП)"),E65*L65/365*M65*0.25,0),"")</f>
        <v/>
      </c>
      <c r="O65" s="181" t="n">
        <f aca="false">I65</f>
        <v>0</v>
      </c>
      <c r="P65" s="179" t="str">
        <f aca="false">IFERROR(Q44-$D65,"")</f>
        <v/>
      </c>
      <c r="Q65" s="180" t="str">
        <f aca="false">IFERROR(IF(OR(C39="КУПК",C39="КУПК (РП/ЗРП)"),E65*O65/365*P65*0.25,0),"")</f>
        <v/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1189084.93150685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594542.465753424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>Финальная веха (25% ПБ)*</v>
      </c>
      <c r="C68" s="202" t="n">
        <f aca="false">IF(OR(C39="КУПК",C39="КУПК (РП/ЗРП)"),C66*25%,"")</f>
        <v>297271.232876712</v>
      </c>
      <c r="D68" s="203" t="n">
        <f aca="false">IFERROR(IF(VLOOKUP(B68,калькулятор!E:J,6,0)=0,"",VLOOKUP(B68,калькулятор!E:J,6,0)),"")</f>
        <v>46428</v>
      </c>
      <c r="E68" s="176" t="n">
        <f aca="false">C68</f>
        <v>297271.232876712</v>
      </c>
      <c r="F68" s="204"/>
      <c r="I68" s="188"/>
      <c r="J68" s="189"/>
      <c r="K68" s="190"/>
      <c r="L68" s="178"/>
      <c r="M68" s="179" t="n">
        <f aca="false">IF(OR(C39="КУПК",C39="КУПК (РП/ЗРП)"),IF(D67="","",D68-D67),"")</f>
        <v>92</v>
      </c>
      <c r="N68" s="180" t="n">
        <f aca="false">IFERROR(IF(D68="","",IF(OR(C39="КУПК",C39="КУПК (РП/ЗРП)"),E68*L68/365*M68,0)),"")</f>
        <v>0</v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>Финальная веха (25% ПБ) 2 часть*</v>
      </c>
      <c r="C69" s="206" t="n">
        <f aca="false">IF(OR(C39="КУПК",C39="КУПК (РП/ЗРП)"),C66*25%,"")</f>
        <v>297271.232876712</v>
      </c>
      <c r="D69" s="207" t="n">
        <f aca="false">IFERROR(IF(VLOOKUP(B69,калькулятор!E:J,6,0)=0,"",VLOOKUP(B69,калькулятор!E:J,6,0)),"")</f>
        <v>46517</v>
      </c>
      <c r="E69" s="208" t="n">
        <f aca="false">C69</f>
        <v>297271.232876712</v>
      </c>
      <c r="F69" s="209"/>
      <c r="I69" s="188"/>
      <c r="J69" s="189"/>
      <c r="K69" s="190"/>
      <c r="L69" s="188"/>
      <c r="M69" s="189"/>
      <c r="N69" s="190"/>
      <c r="O69" s="181"/>
      <c r="P69" s="179" t="n">
        <f aca="false">IF(OR(C39="КУПК",C39="КУПК (РП/ЗРП)"),IF(D67="","",D69-D67),"")</f>
        <v>181</v>
      </c>
      <c r="Q69" s="180" t="n">
        <f aca="false">IFERROR(IF(D69="","",IF(OR(C39="КУПК",C39="КУПК (РП/ЗРП)"),E69*O69/365*P69,0)),"")</f>
        <v>0</v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str">
        <f aca="false" t="array" ref="B73:B73">INDEX($B$6:$B$37,SMALL(IF(COUNTIF($B$38:$B72,$B$6:$B$37)=0,ROW($B$6:$B$37)-ROW($B$6)+1),1))</f>
        <v>Тестова Двадцать Семь</v>
      </c>
      <c r="C73" s="142" t="str">
        <f aca="false">INDEX(калькулятор!$1:$3,1,MATCH(B73,калькулятор!$3:$3,0))</f>
        <v>РУПК</v>
      </c>
      <c r="D73" s="143"/>
      <c r="E73" s="143"/>
      <c r="F73" s="144"/>
      <c r="G73" s="144"/>
      <c r="H73" s="144"/>
      <c r="I73" s="145" t="s">
        <v>52</v>
      </c>
      <c r="J73" s="143" t="s">
        <v>53</v>
      </c>
      <c r="K73" s="146" t="n">
        <f aca="false">SUM(K80:K103)</f>
        <v>146805.837342841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54</v>
      </c>
      <c r="D74" s="151" t="n">
        <f aca="false">HLOOKUP(B73,калькулятор!$3:$14,5,0)</f>
        <v>3603287.67123288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str">
        <f aca="false">IF(OR(C73="КУПК",C73="КУПК (РП/ЗРП)"),"1 выплата (50%)","Выплата")</f>
        <v>Выплата</v>
      </c>
      <c r="J77" s="156"/>
      <c r="K77" s="156"/>
      <c r="L77" s="157" t="str">
        <f aca="false">IF(OR(C73="КУПК",C73="КУПК (РП/ЗРП)"),"2 выплата (25%)","Выплата")</f>
        <v>Выплата</v>
      </c>
      <c r="M77" s="157"/>
      <c r="N77" s="157"/>
      <c r="O77" s="158" t="str">
        <f aca="false">IF(OR(C73="КУПК",C73="КУПК (РП/ЗРП)"),"3 выплата (25%)","Выплата")</f>
        <v>Выплата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55</v>
      </c>
      <c r="D78" s="159" t="n">
        <f aca="false">HLOOKUP(B73,калькулятор!$3:$5,3,0)</f>
        <v>45748</v>
      </c>
      <c r="I78" s="160" t="s">
        <v>56</v>
      </c>
      <c r="J78" s="161"/>
      <c r="K78" s="162" t="n">
        <f aca="false">D101</f>
        <v>46336</v>
      </c>
      <c r="L78" s="163" t="s">
        <v>56</v>
      </c>
      <c r="M78" s="163"/>
      <c r="N78" s="163" t="str">
        <f aca="false">D102</f>
        <v/>
      </c>
      <c r="O78" s="163" t="s">
        <v>56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57</v>
      </c>
      <c r="C79" s="165" t="s">
        <v>58</v>
      </c>
      <c r="D79" s="166" t="s">
        <v>59</v>
      </c>
      <c r="E79" s="166" t="s">
        <v>60</v>
      </c>
      <c r="F79" s="167" t="s">
        <v>61</v>
      </c>
      <c r="H79" s="168"/>
      <c r="I79" s="169" t="s">
        <v>62</v>
      </c>
      <c r="J79" s="163" t="s">
        <v>63</v>
      </c>
      <c r="K79" s="170" t="s">
        <v>64</v>
      </c>
      <c r="L79" s="169" t="s">
        <v>62</v>
      </c>
      <c r="M79" s="163" t="s">
        <v>63</v>
      </c>
      <c r="N79" s="171" t="s">
        <v>64</v>
      </c>
      <c r="O79" s="172" t="s">
        <v>62</v>
      </c>
      <c r="P79" s="163" t="s">
        <v>63</v>
      </c>
      <c r="Q79" s="171" t="s">
        <v>64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n">
        <f aca="false">IFERROR(VLOOKUP(B80,калькулятор!E:OJ,MATCH($B73,калькулятор!$3:$3,0)-5,0),"")</f>
        <v>402367.123287671</v>
      </c>
      <c r="D80" s="175" t="n">
        <f aca="false">IFERROR(IF(VLOOKUP(B80,калькулятор!E:J,6,0)=0,"",VLOOKUP(B80,калькулятор!E:J,6,0)),"")</f>
        <v>45877</v>
      </c>
      <c r="E80" s="176" t="n">
        <f aca="false">IF(B80="Финальная веха*",0,IF(D80="","",IF(B80="","",IFERROR(C80/67*33,""))))</f>
        <v>198180.821917808</v>
      </c>
      <c r="F80" s="177"/>
      <c r="H80" s="130"/>
      <c r="I80" s="178" t="n">
        <v>0.21</v>
      </c>
      <c r="J80" s="179" t="n">
        <f aca="false">IFERROR(K78-D80,"")</f>
        <v>459</v>
      </c>
      <c r="K80" s="180" t="n">
        <f aca="false">IFERROR(IF(OR(C73="КУПК",C73="КУПК (РП/ЗРП)"),E80*I80/365*J80*0.5,E80*I80/365*J80),"")</f>
        <v>52336.0258209796</v>
      </c>
      <c r="L80" s="178" t="n">
        <f aca="false">I80</f>
        <v>0.21</v>
      </c>
      <c r="M80" s="179" t="str">
        <f aca="false">IFERROR(N78-$D80,"")</f>
        <v/>
      </c>
      <c r="N80" s="180" t="n">
        <f aca="false">IFERROR(IF(OR(C73="КУПК",C73="КУПК (РП/ЗРП)"),E80*L80/365*M80*0.25,0),"")</f>
        <v>0</v>
      </c>
      <c r="O80" s="181" t="n">
        <f aca="false">I80</f>
        <v>0.21</v>
      </c>
      <c r="P80" s="179" t="str">
        <f aca="false">IFERROR(Q78-$D80,"")</f>
        <v/>
      </c>
      <c r="Q80" s="180" t="n">
        <f aca="false">IFERROR(IF(OR(C73="КУПК",C73="КУПК (РП/ЗРП)"),E80*O80/365*P80*0.25,0),"")</f>
        <v>0</v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n">
        <f aca="false">IFERROR(VLOOKUP(B81,калькулятор!E:OJ,MATCH($B73,калькулятор!$3:$3,0)-5,0),"")</f>
        <v>402367.123287671</v>
      </c>
      <c r="D81" s="175" t="n">
        <f aca="false">IFERROR(IF(VLOOKUP(B81,калькулятор!E:J,6,0)=0,"",VLOOKUP(B81,калькулятор!E:J,6,0)),"")</f>
        <v>45971</v>
      </c>
      <c r="E81" s="176" t="n">
        <f aca="false">IF(B81="Финальная веха*",0,IF(D81="","",IF(B81="","",IFERROR(C81/67*33,""))))</f>
        <v>198180.821917808</v>
      </c>
      <c r="F81" s="177"/>
      <c r="H81" s="130"/>
      <c r="I81" s="178" t="n">
        <v>0.2</v>
      </c>
      <c r="J81" s="179" t="n">
        <f aca="false">IFERROR(K78-D81,"")</f>
        <v>365</v>
      </c>
      <c r="K81" s="180" t="n">
        <f aca="false">IFERROR(IF(OR(C73="КУПК",C73="КУПК (РП/ЗРП)"),E81*I81/365*J81*0.5,E81*I81/365*J81),"")</f>
        <v>39636.1643835617</v>
      </c>
      <c r="L81" s="178" t="n">
        <f aca="false">I81</f>
        <v>0.2</v>
      </c>
      <c r="M81" s="179" t="str">
        <f aca="false">IFERROR(N78-$D81,"")</f>
        <v/>
      </c>
      <c r="N81" s="180" t="n">
        <f aca="false">IFERROR(IF(OR(C73="КУПК",C73="КУПК (РП/ЗРП)"),E81*L81/365*M81*0.25,0),"")</f>
        <v>0</v>
      </c>
      <c r="O81" s="181" t="n">
        <f aca="false">I81</f>
        <v>0.2</v>
      </c>
      <c r="P81" s="179" t="str">
        <f aca="false">IFERROR(Q78-$D81,"")</f>
        <v/>
      </c>
      <c r="Q81" s="180" t="n">
        <f aca="false">IFERROR(IF(OR(C73="КУПК",C73="КУПК (РП/ЗРП)"),E81*O81/365*P81*0.25,0),"")</f>
        <v>0</v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n">
        <f aca="false">IFERROR(VLOOKUP(B82,калькулятор!E:OJ,MATCH($B73,калькулятор!$3:$3,0)-5,0),"")</f>
        <v>402367.123287671</v>
      </c>
      <c r="D82" s="175" t="n">
        <f aca="false">IFERROR(IF(VLOOKUP(B82,калькулятор!E:J,6,0)=0,"",VLOOKUP(B82,калькулятор!E:J,6,0)),"")</f>
        <v>46063</v>
      </c>
      <c r="E82" s="176" t="n">
        <f aca="false">IF(B82="Финальная веха*",0,IF(D82="","",IF(B82="","",IFERROR(C82/67*33,""))))</f>
        <v>198180.821917808</v>
      </c>
      <c r="F82" s="177"/>
      <c r="H82" s="130"/>
      <c r="I82" s="178" t="n">
        <v>0.19</v>
      </c>
      <c r="J82" s="179" t="n">
        <f aca="false">IFERROR(K78-D82,"")</f>
        <v>273</v>
      </c>
      <c r="K82" s="180" t="n">
        <f aca="false">IFERROR(IF(OR(C73="КУПК",C73="КУПК (РП/ЗРП)"),E82*I82/365*J82*0.5,E82*I82/365*J82),"")</f>
        <v>28163.3951585663</v>
      </c>
      <c r="L82" s="178" t="n">
        <f aca="false">I82</f>
        <v>0.19</v>
      </c>
      <c r="M82" s="179" t="str">
        <f aca="false">IFERROR(N78-$D82,"")</f>
        <v/>
      </c>
      <c r="N82" s="180" t="n">
        <f aca="false">IFERROR(IF(OR(C73="КУПК",C73="КУПК (РП/ЗРП)"),E82*L82/365*M82*0.25,0),"")</f>
        <v>0</v>
      </c>
      <c r="O82" s="181" t="n">
        <f aca="false">I82</f>
        <v>0.19</v>
      </c>
      <c r="P82" s="179" t="str">
        <f aca="false">IFERROR(Q78-$D82,"")</f>
        <v/>
      </c>
      <c r="Q82" s="180" t="n">
        <f aca="false">IFERROR(IF(OR(C73="КУПК",C73="КУПК (РП/ЗРП)"),E82*O82/365*P82*0.25,0),"")</f>
        <v>0</v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n">
        <f aca="false">IFERROR(VLOOKUP(B83,калькулятор!E:OJ,MATCH($B73,калькулятор!$3:$3,0)-5,0),"")</f>
        <v>402367.123287671</v>
      </c>
      <c r="D83" s="175" t="n">
        <f aca="false">IFERROR(IF(VLOOKUP(B83,калькулятор!E:J,6,0)=0,"",VLOOKUP(B83,калькулятор!E:J,6,0)),"")</f>
        <v>46150</v>
      </c>
      <c r="E83" s="176" t="n">
        <f aca="false">IF(B83="Финальная веха*",0,IF(D83="","",IF(B83="","",IFERROR(C83/67*33,""))))</f>
        <v>198180.821917808</v>
      </c>
      <c r="F83" s="177"/>
      <c r="H83" s="130"/>
      <c r="I83" s="178" t="n">
        <v>0.18</v>
      </c>
      <c r="J83" s="179" t="n">
        <f aca="false">IFERROR(K78-D83,"")</f>
        <v>186</v>
      </c>
      <c r="K83" s="180" t="n">
        <f aca="false">IFERROR(IF(OR(C73="КУПК",C73="КУПК (РП/ЗРП)"),E83*I83/365*J83*0.5,E83*I83/365*J83),"")</f>
        <v>18178.3395008444</v>
      </c>
      <c r="L83" s="178" t="n">
        <f aca="false">I83</f>
        <v>0.18</v>
      </c>
      <c r="M83" s="179" t="str">
        <f aca="false">IFERROR(N78-$D83,"")</f>
        <v/>
      </c>
      <c r="N83" s="180" t="n">
        <f aca="false">IFERROR(IF(OR(C73="КУПК",C73="КУПК (РП/ЗРП)"),E83*L83/365*M83*0.25,0),"")</f>
        <v>0</v>
      </c>
      <c r="O83" s="181" t="n">
        <f aca="false">I83</f>
        <v>0.18</v>
      </c>
      <c r="P83" s="179" t="str">
        <f aca="false">IFERROR(Q78-$D83,"")</f>
        <v/>
      </c>
      <c r="Q83" s="180" t="n">
        <f aca="false">IFERROR(IF(OR(C73="КУПК",C73="КУПК (РП/ЗРП)"),E83*O83/365*P83*0.25,0),"")</f>
        <v>0</v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n">
        <f aca="false">IFERROR(VLOOKUP(B84,калькулятор!E:OJ,MATCH($B73,калькулятор!$3:$3,0)-5,0),"")</f>
        <v>402367.123287671</v>
      </c>
      <c r="D84" s="175" t="n">
        <f aca="false">IFERROR(IF(VLOOKUP(B84,калькулятор!E:J,6,0)=0,"",VLOOKUP(B84,калькулятор!E:J,6,0)),"")</f>
        <v>46244</v>
      </c>
      <c r="E84" s="176" t="n">
        <f aca="false">IF(B84="Финальная веха*",0,IF(D84="","",IF(B84="","",IFERROR(C84/67*33,""))))</f>
        <v>198180.821917808</v>
      </c>
      <c r="F84" s="182"/>
      <c r="H84" s="130"/>
      <c r="I84" s="178" t="n">
        <v>0.17</v>
      </c>
      <c r="J84" s="179" t="n">
        <f aca="false">IFERROR(K78-D84,"")</f>
        <v>92</v>
      </c>
      <c r="K84" s="180" t="n">
        <f aca="false">IFERROR(IF(OR(C73="КУПК",C73="КУПК (РП/ЗРП)"),E84*I84/365*J84*0.5,E84*I84/365*J84),"")</f>
        <v>8491.9124788891</v>
      </c>
      <c r="L84" s="178" t="n">
        <f aca="false">I84</f>
        <v>0.17</v>
      </c>
      <c r="M84" s="179" t="str">
        <f aca="false">IFERROR(N78-$D84,"")</f>
        <v/>
      </c>
      <c r="N84" s="180" t="n">
        <f aca="false">IFERROR(IF(OR(C73="КУПК",C73="КУПК (РП/ЗРП)"),E84*L84/365*M84*0.25,0),"")</f>
        <v>0</v>
      </c>
      <c r="O84" s="181" t="n">
        <f aca="false">I84</f>
        <v>0.17</v>
      </c>
      <c r="P84" s="179" t="str">
        <f aca="false">IFERROR(Q78-$D84,"")</f>
        <v/>
      </c>
      <c r="Q84" s="180" t="n">
        <f aca="false">IFERROR(IF(OR(C73="КУПК",C73="КУПК (РП/ЗРП)"),E84*O84/365*P84*0.25,0),"")</f>
        <v>0</v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n">
        <f aca="false">IFERROR(VLOOKUP(B85,калькулятор!E:OJ,MATCH($B73,калькулятор!$3:$3,0)-5,0),"")</f>
        <v>402367.123287671</v>
      </c>
      <c r="D85" s="175" t="n">
        <f aca="false">IFERROR(IF(VLOOKUP(B85,калькулятор!E:J,6,0)=0,"",VLOOKUP(B85,калькулятор!E:J,6,0)),"")</f>
        <v>46336</v>
      </c>
      <c r="E85" s="176" t="n">
        <f aca="false">IF(B85="Финальная веха*",0,IF(D85="","",IF(B85="","",IFERROR(C85/67*33,""))))</f>
        <v>198180.821917808</v>
      </c>
      <c r="F85" s="177"/>
      <c r="H85" s="130"/>
      <c r="I85" s="178" t="n">
        <v>0.165</v>
      </c>
      <c r="J85" s="179" t="n">
        <f aca="false">IFERROR(K78-D85,"")</f>
        <v>0</v>
      </c>
      <c r="K85" s="180" t="n">
        <f aca="false">IFERROR(IF(OR(C73="КУПК",C73="КУПК (РП/ЗРП)"),E85*I85/365*J85*0.5,E85*I85/365*J85),"")</f>
        <v>0</v>
      </c>
      <c r="L85" s="178" t="n">
        <f aca="false">I85</f>
        <v>0.165</v>
      </c>
      <c r="M85" s="179" t="str">
        <f aca="false">IFERROR(N78-$D85,"")</f>
        <v/>
      </c>
      <c r="N85" s="180" t="n">
        <f aca="false">IFERROR(IF(OR(C73="КУПК",C73="КУПК (РП/ЗРП)"),E85*L85/365*M85*0.25,0),"")</f>
        <v>0</v>
      </c>
      <c r="O85" s="181" t="n">
        <f aca="false">I85</f>
        <v>0.165</v>
      </c>
      <c r="P85" s="179" t="str">
        <f aca="false">IFERROR(Q78-$D85,"")</f>
        <v/>
      </c>
      <c r="Q85" s="180" t="n">
        <f aca="false">IFERROR(IF(OR(C73="КУПК",C73="КУПК (РП/ЗРП)"),E85*O85/365*P85*0.25,0),"")</f>
        <v>0</v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n">
        <f aca="false">IFERROR(IF(OR(C73="КУПК",C73="КУПК (РП/ЗРП)"),E86*L86/365*M86*0.25,0),"")</f>
        <v>0</v>
      </c>
      <c r="O86" s="181" t="n">
        <f aca="false">I86</f>
        <v>0</v>
      </c>
      <c r="P86" s="179" t="str">
        <f aca="false">IFERROR(Q78-$D86,"")</f>
        <v/>
      </c>
      <c r="Q86" s="180" t="n">
        <f aca="false">IFERROR(IF(OR(C73="КУПК",C73="КУПК (РП/ЗРП)"),E86*O86/365*P86*0.25,0),"")</f>
        <v>0</v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n">
        <f aca="false">IFERROR(IF(OR(C73="КУПК",C73="КУПК (РП/ЗРП)"),E87*L87/365*M87*0.25,0),"")</f>
        <v>0</v>
      </c>
      <c r="O87" s="181" t="n">
        <f aca="false">I87</f>
        <v>0</v>
      </c>
      <c r="P87" s="179" t="str">
        <f aca="false">IFERROR(Q78-$D87,"")</f>
        <v/>
      </c>
      <c r="Q87" s="180" t="n">
        <f aca="false">IFERROR(IF(OR(C73="КУПК",C73="КУПК (РП/ЗРП)"),E87*O87/365*P87*0.25,0),"")</f>
        <v>0</v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n">
        <f aca="false">IFERROR(IF(OR(C73="КУПК",C73="КУПК (РП/ЗРП)"),E88*L88/365*M88*0.25,0),"")</f>
        <v>0</v>
      </c>
      <c r="O88" s="181" t="n">
        <f aca="false">I88</f>
        <v>0</v>
      </c>
      <c r="P88" s="179" t="str">
        <f aca="false">IFERROR(Q78-$D88,"")</f>
        <v/>
      </c>
      <c r="Q88" s="180" t="n">
        <f aca="false">IFERROR(IF(OR(C73="КУПК",C73="КУПК (РП/ЗРП)"),E88*O88/365*P88*0.25,0),"")</f>
        <v>0</v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n">
        <f aca="false">IFERROR(IF(OR(C73="КУПК",C73="КУПК (РП/ЗРП)"),E89*L89/365*M89*0.25,0),"")</f>
        <v>0</v>
      </c>
      <c r="O89" s="181" t="n">
        <f aca="false">I89</f>
        <v>0</v>
      </c>
      <c r="P89" s="179" t="str">
        <f aca="false">IFERROR(Q78-$D89,"")</f>
        <v/>
      </c>
      <c r="Q89" s="180" t="n">
        <f aca="false">IFERROR(IF(OR(C73="КУПК",C73="КУПК (РП/ЗРП)"),E89*O89/365*P89*0.25,0),"")</f>
        <v>0</v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n">
        <f aca="false">IFERROR(IF(OR(C73="КУПК",C73="КУПК (РП/ЗРП)"),E90*L90/365*M90*0.25,0),"")</f>
        <v>0</v>
      </c>
      <c r="O90" s="181" t="n">
        <f aca="false">I90</f>
        <v>0</v>
      </c>
      <c r="P90" s="179" t="str">
        <f aca="false">IFERROR(Q78-$D90,"")</f>
        <v/>
      </c>
      <c r="Q90" s="180" t="n">
        <f aca="false">IFERROR(IF(OR(C73="КУПК",C73="КУПК (РП/ЗРП)"),E90*O90/365*P90*0.25,0),"")</f>
        <v>0</v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n">
        <f aca="false">IFERROR(IF(OR(C73="КУПК",C73="КУПК (РП/ЗРП)"),E91*L91/365*M91*0.25,0),"")</f>
        <v>0</v>
      </c>
      <c r="O91" s="181" t="n">
        <f aca="false">I91</f>
        <v>0</v>
      </c>
      <c r="P91" s="179" t="str">
        <f aca="false">IFERROR(Q78-$D91,"")</f>
        <v/>
      </c>
      <c r="Q91" s="180" t="n">
        <f aca="false">IFERROR(IF(OR(C73="КУПК",C73="КУПК (РП/ЗРП)"),E91*O91/365*P91*0.25,0),"")</f>
        <v>0</v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n">
        <f aca="false">IFERROR(IF(OR(C73="КУПК",C73="КУПК (РП/ЗРП)"),E92*L92/365*M92*0.25,0),"")</f>
        <v>0</v>
      </c>
      <c r="O92" s="181" t="n">
        <f aca="false">I92</f>
        <v>0</v>
      </c>
      <c r="P92" s="179" t="str">
        <f aca="false">IFERROR(Q78-$D92,"")</f>
        <v/>
      </c>
      <c r="Q92" s="180" t="n">
        <f aca="false">IFERROR(IF(OR(C73="КУПК",C73="КУПК (РП/ЗРП)"),E92*O92/365*P92*0.25,0),"")</f>
        <v>0</v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n">
        <f aca="false">IFERROR(IF(OR(C73="КУПК",C73="КУПК (РП/ЗРП)"),E93*L93/365*M93*0.25,0),"")</f>
        <v>0</v>
      </c>
      <c r="O93" s="181" t="n">
        <f aca="false">I93</f>
        <v>0</v>
      </c>
      <c r="P93" s="179" t="str">
        <f aca="false">IFERROR(Q78-$D93,"")</f>
        <v/>
      </c>
      <c r="Q93" s="180" t="n">
        <f aca="false">IFERROR(IF(OR(C73="КУПК",C73="КУПК (РП/ЗРП)"),E93*O93/365*P93*0.25,0),"")</f>
        <v>0</v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n">
        <f aca="false">IFERROR(IF(OR(C73="КУПК",C73="КУПК (РП/ЗРП)"),E94*L94/365*M94*0.25,0),"")</f>
        <v>0</v>
      </c>
      <c r="O94" s="181" t="n">
        <f aca="false">I94</f>
        <v>0</v>
      </c>
      <c r="P94" s="179" t="str">
        <f aca="false">IFERROR(Q78-$D94,"")</f>
        <v/>
      </c>
      <c r="Q94" s="180" t="n">
        <f aca="false">IFERROR(IF(OR(C73="КУПК",C73="КУПК (РП/ЗРП)"),E94*O94/365*P94*0.25,0),"")</f>
        <v>0</v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n">
        <f aca="false">IFERROR(IF(OR(C73="КУПК",C73="КУПК (РП/ЗРП)"),E95*L95/365*M95*0.25,0),"")</f>
        <v>0</v>
      </c>
      <c r="O95" s="181" t="n">
        <f aca="false">I95</f>
        <v>0</v>
      </c>
      <c r="P95" s="179" t="str">
        <f aca="false">IFERROR(Q78-$D95,"")</f>
        <v/>
      </c>
      <c r="Q95" s="180" t="n">
        <f aca="false">IFERROR(IF(OR(C73="КУПК",C73="КУПК (РП/ЗРП)"),E95*O95/365*P95*0.25,0),"")</f>
        <v>0</v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n">
        <f aca="false">IFERROR(IF(OR(C73="КУПК",C73="КУПК (РП/ЗРП)"),E96*L96/365*M96*0.25,0),"")</f>
        <v>0</v>
      </c>
      <c r="O96" s="181" t="n">
        <f aca="false">I96</f>
        <v>0</v>
      </c>
      <c r="P96" s="179" t="str">
        <f aca="false">IFERROR(Q78-$D96,"")</f>
        <v/>
      </c>
      <c r="Q96" s="180" t="n">
        <f aca="false">IFERROR(IF(OR(C73="КУПК",C73="КУПК (РП/ЗРП)"),E96*O96/365*P96*0.25,0),"")</f>
        <v>0</v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n">
        <f aca="false">IFERROR(IF(OR(C73="КУПК",C73="КУПК (РП/ЗРП)"),E97*L97/365*M97*0.25,0),"")</f>
        <v>0</v>
      </c>
      <c r="O97" s="181" t="n">
        <f aca="false">I97</f>
        <v>0</v>
      </c>
      <c r="P97" s="179" t="str">
        <f aca="false">IFERROR(Q78-$D97,"")</f>
        <v/>
      </c>
      <c r="Q97" s="180" t="n">
        <f aca="false">IFERROR(IF(OR(C73="КУПК",C73="КУПК (РП/ЗРП)"),E97*O97/365*P97*0.25,0),"")</f>
        <v>0</v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n">
        <f aca="false">IFERROR(IF(OR(C73="КУПК",C73="КУПК (РП/ЗРП)"),E98*L98/365*M98*0.25,0),"")</f>
        <v>0</v>
      </c>
      <c r="O98" s="181" t="n">
        <f aca="false">I98</f>
        <v>0</v>
      </c>
      <c r="P98" s="179" t="str">
        <f aca="false">IFERROR(Q78-$D98,"")</f>
        <v/>
      </c>
      <c r="Q98" s="180" t="n">
        <f aca="false">IFERROR(IF(OR(C73="КУПК",C73="КУПК (РП/ЗРП)"),E98*O98/365*P98*0.25,0),"")</f>
        <v>0</v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n">
        <f aca="false">IFERROR(IF(OR(C73="КУПК",C73="КУПК (РП/ЗРП)"),E99*L99/365*M99*0.25,0),"")</f>
        <v>0</v>
      </c>
      <c r="O99" s="181" t="n">
        <f aca="false">I99</f>
        <v>0</v>
      </c>
      <c r="P99" s="179" t="str">
        <f aca="false">IFERROR(Q78-$D99,"")</f>
        <v/>
      </c>
      <c r="Q99" s="180" t="n">
        <f aca="false">IFERROR(IF(OR(C73="КУПК",C73="КУПК (РП/ЗРП)"),E99*O99/365*P99*0.25,0),"")</f>
        <v>0</v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n">
        <f aca="false">IFERROR(VLOOKUP(B100,калькулятор!E:OJ,MATCH(B73,калькулятор!$3:$3,0)-5,0),"")</f>
        <v>1189084.93150685</v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n">
        <f aca="false">IF(OR(C73="КУПК",C73="КУПК (РП/ЗРП)"),C100*50%,C100)</f>
        <v>1189084.93150685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n">
        <f aca="false">IFERROR(IF(OR(C73="КУПК",C73="КУПК (РП/ЗРП)"),E101*I101/365*J101*0.5,E101*I101/365*J101),"")</f>
        <v>0</v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str">
        <f aca="false">IF(OR(C73="КУПК",C73="КУПК (РП/ЗРП)"),"Финальная веха (25% ПБ)*","")</f>
        <v/>
      </c>
      <c r="C102" s="202" t="str">
        <f aca="false">IF(OR(C73="КУПК",C73="КУПК (РП/ЗРП)"),C100*25%,"")</f>
        <v/>
      </c>
      <c r="D102" s="203" t="str">
        <f aca="false">IFERROR(IF(VLOOKUP(B102,калькулятор!E:J,6,0)=0,"",VLOOKUP(B102,калькулятор!E:J,6,0)),"")</f>
        <v/>
      </c>
      <c r="E102" s="176" t="str">
        <f aca="false">C102</f>
        <v/>
      </c>
      <c r="F102" s="204"/>
      <c r="I102" s="188"/>
      <c r="J102" s="189"/>
      <c r="K102" s="190"/>
      <c r="L102" s="178"/>
      <c r="M102" s="179" t="str">
        <f aca="false">IF(OR(C73="КУПК",C73="КУПК (РП/ЗРП)"),IF(D101="","",D102-D101),"")</f>
        <v/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str">
        <f aca="false">IF(OR(C73="КУПК",C73="КУПК (РП/ЗРП)"),"Финальная веха (25% ПБ) 2 часть*","")</f>
        <v/>
      </c>
      <c r="C103" s="206" t="str">
        <f aca="false">IF(OR(C73="КУПК",C73="КУПК (РП/ЗРП)"),C100*25%,"")</f>
        <v/>
      </c>
      <c r="D103" s="207" t="str">
        <f aca="false">IFERROR(IF(VLOOKUP(B103,калькулятор!E:J,6,0)=0,"",VLOOKUP(B103,калькулятор!E:J,6,0)),"")</f>
        <v/>
      </c>
      <c r="E103" s="208" t="str">
        <f aca="false">C103</f>
        <v/>
      </c>
      <c r="F103" s="209"/>
      <c r="I103" s="188"/>
      <c r="J103" s="189"/>
      <c r="K103" s="190"/>
      <c r="L103" s="188"/>
      <c r="M103" s="189"/>
      <c r="N103" s="190"/>
      <c r="O103" s="181"/>
      <c r="P103" s="179" t="str">
        <f aca="false">IF(OR(C73="КУПК",C73="КУПК (РП/ЗРП)"),IF(D101="","",D103-D101),"")</f>
        <v/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52</v>
      </c>
      <c r="J107" s="143" t="s">
        <v>53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54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55</v>
      </c>
      <c r="D112" s="159" t="e">
        <f aca="false">HLOOKUP(B107,калькулятор!$3:$5,3,0)</f>
        <v>#VALUE!</v>
      </c>
      <c r="I112" s="160" t="s">
        <v>56</v>
      </c>
      <c r="J112" s="161"/>
      <c r="K112" s="162" t="n">
        <f aca="false">D135</f>
        <v>46336</v>
      </c>
      <c r="L112" s="163" t="s">
        <v>56</v>
      </c>
      <c r="M112" s="163"/>
      <c r="N112" s="163" t="str">
        <f aca="false">D136</f>
        <v/>
      </c>
      <c r="O112" s="163" t="s">
        <v>56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57</v>
      </c>
      <c r="C113" s="165" t="s">
        <v>58</v>
      </c>
      <c r="D113" s="166" t="s">
        <v>59</v>
      </c>
      <c r="E113" s="166" t="s">
        <v>60</v>
      </c>
      <c r="F113" s="167" t="s">
        <v>61</v>
      </c>
      <c r="H113" s="168"/>
      <c r="I113" s="169" t="s">
        <v>62</v>
      </c>
      <c r="J113" s="163" t="s">
        <v>63</v>
      </c>
      <c r="K113" s="170" t="s">
        <v>64</v>
      </c>
      <c r="L113" s="169" t="s">
        <v>62</v>
      </c>
      <c r="M113" s="163" t="s">
        <v>63</v>
      </c>
      <c r="N113" s="171" t="s">
        <v>64</v>
      </c>
      <c r="O113" s="172" t="s">
        <v>62</v>
      </c>
      <c r="P113" s="163" t="s">
        <v>63</v>
      </c>
      <c r="Q113" s="171" t="s">
        <v>64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45877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459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46150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186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65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66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67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68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69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10</v>
      </c>
      <c r="C12" s="229" t="s">
        <v>70</v>
      </c>
      <c r="D12" s="230" t="s">
        <v>71</v>
      </c>
      <c r="E12" s="231" t="s">
        <v>72</v>
      </c>
      <c r="F12" s="231" t="s">
        <v>73</v>
      </c>
      <c r="G12" s="232" t="s">
        <v>74</v>
      </c>
      <c r="H12" s="231" t="s">
        <v>75</v>
      </c>
      <c r="I12" s="232" t="s">
        <v>76</v>
      </c>
      <c r="J12" s="233"/>
    </row>
    <row r="13" customFormat="false" ht="15" hidden="false" customHeight="false" outlineLevel="0" collapsed="false">
      <c r="B13" s="234" t="s">
        <v>77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78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79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80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81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82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83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84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85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86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87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54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66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67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68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10</v>
      </c>
      <c r="C37" s="248" t="s">
        <v>88</v>
      </c>
      <c r="D37" s="249" t="s">
        <v>71</v>
      </c>
      <c r="E37" s="250" t="s">
        <v>72</v>
      </c>
      <c r="F37" s="250" t="s">
        <v>73</v>
      </c>
      <c r="G37" s="250"/>
      <c r="J37" s="241"/>
    </row>
    <row r="38" customFormat="false" ht="15" hidden="false" customHeight="false" outlineLevel="0" collapsed="false">
      <c r="B38" s="251" t="s">
        <v>77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78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79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80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81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82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83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84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85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86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87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89</v>
      </c>
      <c r="M1" s="256"/>
      <c r="N1" s="256"/>
    </row>
    <row r="2" customFormat="false" ht="15" hidden="false" customHeight="false" outlineLevel="0" collapsed="false">
      <c r="B2" s="257" t="s">
        <v>90</v>
      </c>
      <c r="M2" s="256"/>
      <c r="N2" s="256"/>
    </row>
    <row r="3" customFormat="false" ht="15" hidden="false" customHeight="false" outlineLevel="0" collapsed="false">
      <c r="B3" s="257" t="s">
        <v>5</v>
      </c>
      <c r="M3" s="256"/>
      <c r="N3" s="256"/>
    </row>
    <row r="4" customFormat="false" ht="15" hidden="false" customHeight="false" outlineLevel="0" collapsed="false">
      <c r="B4" s="258" t="s">
        <v>6</v>
      </c>
      <c r="M4" s="256"/>
      <c r="N4" s="256"/>
    </row>
    <row r="5" customFormat="false" ht="15" hidden="false" customHeight="false" outlineLevel="0" collapsed="false">
      <c r="B5" s="258" t="s">
        <v>91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92</v>
      </c>
      <c r="M10" s="256"/>
      <c r="N10" s="256"/>
    </row>
    <row r="11" customFormat="false" ht="15" hidden="false" customHeight="false" outlineLevel="0" collapsed="false">
      <c r="B11" s="259" t="s">
        <v>93</v>
      </c>
      <c r="M11" s="256"/>
      <c r="N11" s="256"/>
    </row>
    <row r="12" customFormat="false" ht="15" hidden="false" customHeight="false" outlineLevel="0" collapsed="false">
      <c r="B12" s="259" t="s">
        <v>94</v>
      </c>
      <c r="M12" s="256"/>
      <c r="N12" s="256"/>
    </row>
    <row r="13" customFormat="false" ht="15" hidden="false" customHeight="false" outlineLevel="0" collapsed="false">
      <c r="B13" s="259" t="s">
        <v>95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96</v>
      </c>
      <c r="C2" s="261" t="s">
        <v>97</v>
      </c>
      <c r="D2" s="261" t="s">
        <v>98</v>
      </c>
      <c r="E2" s="261" t="s">
        <v>99</v>
      </c>
      <c r="F2" s="261" t="s">
        <v>100</v>
      </c>
      <c r="G2" s="261" t="s">
        <v>0</v>
      </c>
      <c r="H2" s="261" t="s">
        <v>101</v>
      </c>
      <c r="I2" s="261" t="s">
        <v>19</v>
      </c>
      <c r="J2" s="261" t="s">
        <v>102</v>
      </c>
      <c r="K2" s="261" t="s">
        <v>103</v>
      </c>
      <c r="L2" s="262" t="s">
        <v>23</v>
      </c>
      <c r="M2" s="261" t="s">
        <v>104</v>
      </c>
      <c r="N2" s="263" t="s">
        <v>105</v>
      </c>
      <c r="O2" s="261" t="s">
        <v>106</v>
      </c>
      <c r="P2" s="261"/>
      <c r="Q2" s="261" t="s">
        <v>107</v>
      </c>
      <c r="R2" s="261" t="s">
        <v>108</v>
      </c>
      <c r="S2" s="261" t="s">
        <v>109</v>
      </c>
      <c r="T2" s="261" t="s">
        <v>110</v>
      </c>
      <c r="U2" s="261" t="s">
        <v>111</v>
      </c>
      <c r="V2" s="261" t="s">
        <v>112</v>
      </c>
      <c r="W2" s="261" t="s">
        <v>113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114</v>
      </c>
      <c r="C3" s="264" t="s">
        <v>115</v>
      </c>
      <c r="D3" s="264" t="s">
        <v>115</v>
      </c>
      <c r="E3" s="264" t="s">
        <v>3</v>
      </c>
      <c r="F3" s="264" t="s">
        <v>116</v>
      </c>
      <c r="G3" s="264"/>
      <c r="H3" s="264"/>
      <c r="I3" s="264" t="s">
        <v>117</v>
      </c>
      <c r="J3" s="264"/>
      <c r="K3" s="264"/>
      <c r="L3" s="264" t="s">
        <v>118</v>
      </c>
      <c r="M3" s="265" t="s">
        <v>119</v>
      </c>
      <c r="N3" s="264"/>
      <c r="O3" s="264" t="s">
        <v>120</v>
      </c>
      <c r="P3" s="264" t="s">
        <v>120</v>
      </c>
      <c r="Q3" s="264" t="s">
        <v>3</v>
      </c>
      <c r="R3" s="264" t="s">
        <v>120</v>
      </c>
      <c r="S3" s="264" t="s">
        <v>120</v>
      </c>
      <c r="T3" s="264" t="s">
        <v>120</v>
      </c>
      <c r="U3" s="264" t="s">
        <v>120</v>
      </c>
      <c r="V3" s="264" t="s">
        <v>3</v>
      </c>
      <c r="W3" s="264" t="s">
        <v>121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114</v>
      </c>
      <c r="C4" s="264" t="s">
        <v>122</v>
      </c>
      <c r="D4" s="264" t="s">
        <v>122</v>
      </c>
      <c r="E4" s="264" t="s">
        <v>3</v>
      </c>
      <c r="F4" s="264" t="s">
        <v>116</v>
      </c>
      <c r="G4" s="264"/>
      <c r="H4" s="264"/>
      <c r="I4" s="264" t="s">
        <v>117</v>
      </c>
      <c r="J4" s="264"/>
      <c r="K4" s="264"/>
      <c r="L4" s="264" t="s">
        <v>123</v>
      </c>
      <c r="M4" s="265" t="s">
        <v>124</v>
      </c>
      <c r="N4" s="264"/>
      <c r="O4" s="264" t="s">
        <v>120</v>
      </c>
      <c r="P4" s="264" t="s">
        <v>120</v>
      </c>
      <c r="Q4" s="264" t="s">
        <v>3</v>
      </c>
      <c r="R4" s="264" t="s">
        <v>120</v>
      </c>
      <c r="S4" s="264" t="s">
        <v>120</v>
      </c>
      <c r="T4" s="264" t="s">
        <v>120</v>
      </c>
      <c r="U4" s="264" t="s">
        <v>120</v>
      </c>
      <c r="V4" s="264" t="s">
        <v>3</v>
      </c>
      <c r="W4" s="264" t="s">
        <v>121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114</v>
      </c>
      <c r="C5" s="264" t="s">
        <v>125</v>
      </c>
      <c r="D5" s="264" t="s">
        <v>125</v>
      </c>
      <c r="E5" s="264" t="s">
        <v>3</v>
      </c>
      <c r="F5" s="264" t="s">
        <v>116</v>
      </c>
      <c r="G5" s="264"/>
      <c r="H5" s="264"/>
      <c r="I5" s="264" t="s">
        <v>117</v>
      </c>
      <c r="J5" s="264"/>
      <c r="K5" s="264"/>
      <c r="L5" s="264" t="s">
        <v>126</v>
      </c>
      <c r="M5" s="265" t="s">
        <v>127</v>
      </c>
      <c r="N5" s="264"/>
      <c r="O5" s="264" t="s">
        <v>120</v>
      </c>
      <c r="P5" s="264" t="s">
        <v>3</v>
      </c>
      <c r="Q5" s="264" t="s">
        <v>3</v>
      </c>
      <c r="R5" s="264" t="s">
        <v>120</v>
      </c>
      <c r="S5" s="264" t="s">
        <v>3</v>
      </c>
      <c r="T5" s="264" t="s">
        <v>120</v>
      </c>
      <c r="U5" s="264" t="s">
        <v>120</v>
      </c>
      <c r="V5" s="264" t="s">
        <v>3</v>
      </c>
      <c r="W5" s="264" t="s">
        <v>121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114</v>
      </c>
      <c r="C6" s="264" t="s">
        <v>128</v>
      </c>
      <c r="D6" s="264" t="s">
        <v>128</v>
      </c>
      <c r="E6" s="264" t="s">
        <v>3</v>
      </c>
      <c r="F6" s="264" t="s">
        <v>116</v>
      </c>
      <c r="G6" s="264"/>
      <c r="H6" s="264"/>
      <c r="I6" s="264" t="s">
        <v>117</v>
      </c>
      <c r="J6" s="264"/>
      <c r="K6" s="264"/>
      <c r="L6" s="264" t="s">
        <v>129</v>
      </c>
      <c r="M6" s="265" t="s">
        <v>130</v>
      </c>
      <c r="N6" s="264"/>
      <c r="O6" s="264" t="s">
        <v>120</v>
      </c>
      <c r="P6" s="264" t="s">
        <v>3</v>
      </c>
      <c r="Q6" s="264" t="s">
        <v>3</v>
      </c>
      <c r="R6" s="264" t="s">
        <v>120</v>
      </c>
      <c r="S6" s="264" t="s">
        <v>3</v>
      </c>
      <c r="T6" s="264" t="s">
        <v>120</v>
      </c>
      <c r="U6" s="264" t="s">
        <v>120</v>
      </c>
      <c r="V6" s="264" t="s">
        <v>3</v>
      </c>
      <c r="W6" s="264" t="s">
        <v>121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114</v>
      </c>
      <c r="C7" s="264" t="s">
        <v>131</v>
      </c>
      <c r="D7" s="264" t="s">
        <v>131</v>
      </c>
      <c r="E7" s="264" t="s">
        <v>120</v>
      </c>
      <c r="F7" s="264" t="s">
        <v>116</v>
      </c>
      <c r="G7" s="264"/>
      <c r="H7" s="264"/>
      <c r="I7" s="264" t="s">
        <v>117</v>
      </c>
      <c r="J7" s="264"/>
      <c r="K7" s="264"/>
      <c r="L7" s="264" t="s">
        <v>132</v>
      </c>
      <c r="M7" s="265" t="s">
        <v>133</v>
      </c>
      <c r="N7" s="264"/>
      <c r="O7" s="264" t="s">
        <v>120</v>
      </c>
      <c r="P7" s="264" t="s">
        <v>3</v>
      </c>
      <c r="Q7" s="264" t="s">
        <v>3</v>
      </c>
      <c r="R7" s="264" t="s">
        <v>120</v>
      </c>
      <c r="S7" s="264" t="s">
        <v>3</v>
      </c>
      <c r="T7" s="264" t="s">
        <v>120</v>
      </c>
      <c r="U7" s="264" t="s">
        <v>120</v>
      </c>
      <c r="V7" s="264" t="s">
        <v>3</v>
      </c>
      <c r="W7" s="264" t="s">
        <v>121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