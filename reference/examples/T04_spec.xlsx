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<sst xmlns="http://schemas.openxmlformats.org/spreadsheetml/2006/main" count="296" uniqueCount="134">
  <si>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</si>
  <si>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</si>
  <si>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</si>
  <si>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</si>
  <si>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</si>
  <si>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</si>
  <si>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</si>
  <si>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</si>
  <si>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</si>
  <si>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</si>
  <si>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Шесть</t>
  </si>
  <si>
    <t xml:space="preserve">Тестова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</si>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</sst>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400000000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499568365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1.035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1.03054509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470000000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560658545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416449.97260274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470000 000 ₽. Коэф. фин. рез. = 1.04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414657.463281534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560658 545 ₽. Коэф. фин. рез. = 1.03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416449.97260274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470000 000 ₽. Коэф. фин. рез. = 1.04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414657.463281534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560658 545 ₽. Коэф. фин. рез. = 1.03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416449.97260274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470000 000 ₽. Коэф. фин. рез. = 1.04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414657.463281534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560658 545 ₽. Коэф. фин. рез. = 1.03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416449.97260274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470000 000 ₽. Коэф. фин. рез. = 1.04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414657.463281534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560658 545 ₽. Коэф. фин. рез. = 1.03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416449.97260274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470000 000 ₽. Коэф. фин. рез. = 1.04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414657.463281534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560658 545 ₽. Коэф. фин. рез. = 1.03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416449.97260274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470000 000 ₽. Коэф. фин. рез. = 1.04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414657.463281534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560658 545 ₽. Коэф. фин. рез. = 1.03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1230702.90410959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470000 000 ₽. Коэф. фин. рез. = 1.04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1225405.63775737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560658 545 ₽. Коэф. фин. рез. = 1.03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677167.579658472</v>
      </c>
      <c r="O37" s="96" t="n">
        <v>470000000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674252.87374321</v>
      </c>
      <c r="T37" s="96" t="n">
        <v>560658545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350991.972533683</v>
      </c>
      <c r="O38" s="109" t="n">
        <v>470000000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n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349481.211520775</v>
      </c>
      <c r="T38" s="109" t="n">
        <v>560658545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362995.540584725</v>
      </c>
      <c r="O39" s="121" t="n">
        <v>470000000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361433.113083559</v>
      </c>
      <c r="T39" s="121" t="n">
        <v>560658545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Шесть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61816.127603678</v>
      </c>
      <c r="F6" s="138" t="n">
        <f aca="false">IF($B6="","",IF(OR($C6="МП",$C6="РУПК"),"",VLOOKUP($B6,$B$39:$S$1353,13,0)))</f>
        <v>43316.2465062864</v>
      </c>
      <c r="G6" s="138" t="n">
        <f aca="false">IF($B6="","",IF(OR($C6="МП",$C6="РУПК"),"",VLOOKUP($B6,$B$39:$S$1353,16,0)))</f>
        <v>55319.8145573278</v>
      </c>
      <c r="H6" s="138" t="n">
        <f aca="false">IF(B6="","",SUM(D6:G6))</f>
        <v>160452.188667292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Семь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61550.0548645254</v>
      </c>
      <c r="F7" s="138" t="n">
        <f aca="false">IF($B7="","",IF(OR($C7="МП",$C7="РУПК"),"",VLOOKUP($B7,$B$39:$S$1353,13,0)))</f>
        <v>43129.8020814329</v>
      </c>
      <c r="G7" s="138" t="n">
        <f aca="false">IF($B7="","",IF(OR($C7="МП",$C7="РУПК"),"",VLOOKUP($B7,$B$39:$S$1353,16,0)))</f>
        <v>55081.7036442171</v>
      </c>
      <c r="H7" s="138" t="n">
        <f aca="false">IF(B7="","",SUM(D7:G7))</f>
        <v>159761.560590175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Шесть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61816.127603678</v>
      </c>
      <c r="L39" s="147"/>
      <c r="M39" s="147"/>
      <c r="N39" s="146" t="n">
        <f aca="false">SUM(N46:N69)</f>
        <v>43316.2465062864</v>
      </c>
      <c r="O39" s="147"/>
      <c r="P39" s="147"/>
      <c r="Q39" s="146" t="n">
        <f aca="false">SUM(Q46:Q69)</f>
        <v>55319.8145573278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416449.97260274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205117.150684932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20635.3473237005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12385.7041125915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14386.2987877651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416449.97260274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205117.150684932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16409.3720547945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10272.7164781385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12273.3111533121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416449.97260274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205117.150684932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12273.3111533121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8204.68602739726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10205.2807025708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416449.97260274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205117.150684932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8362.03617038844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6249.04853593545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8249.64321110903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416449.97260274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205117.150684932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4136.06090148245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4136.06090148245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6136.65557665603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416449.97260274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205117.150684932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2068.03045074123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4068.62512591481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1230702.90410959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615351.452054794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307675.726027397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307675.726027397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307675.726027397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307675.726027397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Семь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61550.0548645254</v>
      </c>
      <c r="L73" s="147"/>
      <c r="M73" s="147"/>
      <c r="N73" s="146" t="n">
        <f aca="false">SUM(N80:N103)</f>
        <v>43129.8020814329</v>
      </c>
      <c r="O73" s="147"/>
      <c r="P73" s="147"/>
      <c r="Q73" s="146" t="n">
        <f aca="false">SUM(Q80:Q103)</f>
        <v>55081.7036442171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414657.463281534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204234.272959562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20546.5274056852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12332.3928110376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14324.376404835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414657.463281534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204234.272959562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16338.7418367649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10228.5000265775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12220.4836203749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414657.463281534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204234.272959562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12220.4836203749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8169.37091838247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10161.3545121798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414657.463281534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204234.272959562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8326.04378531035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6222.15100085021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8214.13459464758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414657.463281534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204234.272959562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4118.25821639007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4118.25821639007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6110.24181018743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414657.463281534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204234.272959562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2059.12910819503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4051.1127019924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1225405.63775737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612702.818878685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306351.409439342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306351.409439342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306351.409439342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306351.409439342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