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<sst xmlns="http://schemas.openxmlformats.org/spreadsheetml/2006/main" count="296" uniqueCount="134">
  <si>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</si>
  <si>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</si>
  <si>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</si>
  <si>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</si>
  <si>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</si>
  <si>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</si>
  <si>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</si>
  <si>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</si>
  <si>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</si>
  <si>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</si>
  <si>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Шесть</t>
  </si>
  <si>
    <t xml:space="preserve">Тестова Семь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</si>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</sst>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400000000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499568365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O$7*0.67</f>
        <v>2414202.73972603</v>
      </c>
      <c r="P8" s="18" t="s">
        <v>15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1189084.93150685</v>
      </c>
      <c r="P9" s="18" t="s">
        <v>16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1.035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>1.12228592577114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470000000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560658545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416449.97260274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470000 000 ₽. Коэф. фин. рез. = 1.04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451570.959458775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560658 545 ₽. Коэф. фин. рез. = 1.12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416449.97260274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470000 000 ₽. Коэф. фин. рез. = 1.04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451570.959458775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560658 545 ₽. Коэф. фин. рез. = 1.12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416449.97260274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470000 000 ₽. Коэф. фин. рез. = 1.04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451570.959458775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560658 545 ₽. Коэф. фин. рез. = 1.12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416449.97260274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470000 000 ₽. Коэф. фин. рез. = 1.04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451570.959458775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560658 545 ₽. Коэф. фин. рез. = 1.12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416449.97260274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470000 000 ₽. Коэф. фин. рез. = 1.04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451570.959458775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560658 545 ₽. Коэф. фин. рез. = 1.12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416449.97260274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470000 000 ₽. Коэф. фин. рез. = 1.04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451570.959458775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560658 545 ₽. Коэф. фин. рез. = 1.12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35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1230702.90410959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470000 000 ₽. Коэф. фин. рез. = 1.04</v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1334493.28317668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560658 545 ₽. Коэф. фин. рез. = 1.12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676987.750923625</v>
      </c>
      <c r="O37" s="96" t="n">
        <v>470000000</v>
      </c>
      <c r="P37" s="92"/>
      <c r="Q37" s="93"/>
      <c r="R37" s="94" t="s">
        <v>38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734080.990126611</v>
      </c>
      <c r="T37" s="96" t="n">
        <v>560658545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470000000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Выплаты приостановлены</v>
      </c>
      <c r="T38" s="109" t="n">
        <v>560658545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470000000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T39" s="121" t="n">
        <v>560658545</v>
      </c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Шесть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61636.2988688309</v>
      </c>
      <c r="F6" s="138" t="n">
        <f aca="false">IF($B6="","",IF(OR($C6="МП",$C6="РУПК"),"",VLOOKUP($B6,$B$39:$S$1353,13,0)))</f>
        <v>43226.3321388628</v>
      </c>
      <c r="G6" s="138" t="n">
        <f aca="false">IF($B6="","",IF(OR($C6="МП",$C6="РУПК"),"",VLOOKUP($B6,$B$39:$S$1353,16,0)))</f>
        <v>55229.9001899043</v>
      </c>
      <c r="H6" s="138" t="n">
        <f aca="false">IF(B6="","",SUM(D6:G6))</f>
        <v>160092.531197598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Семь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66834.3485382731</v>
      </c>
      <c r="F7" s="138" t="n">
        <f aca="false">IF($B7="","",IF(OR($C7="МП",$C7="РУПК"),"",VLOOKUP($B7,$B$39:$S$1353,13,0)))</f>
        <v>46871.7914803425</v>
      </c>
      <c r="G7" s="138" t="n">
        <f aca="false">IF($B7="","",IF(OR($C7="МП",$C7="РУПК"),"",VLOOKUP($B7,$B$39:$S$1353,16,0)))</f>
        <v>59887.6711737917</v>
      </c>
      <c r="H7" s="138" t="n">
        <f aca="false">IF(B7="","",SUM(D7:G7))</f>
        <v>173593.811192407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Шесть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61636.2988688309</v>
      </c>
      <c r="L39" s="147"/>
      <c r="M39" s="147"/>
      <c r="N39" s="146" t="n">
        <f aca="false">SUM(N46:N69)</f>
        <v>43226.3321388628</v>
      </c>
      <c r="O39" s="147"/>
      <c r="P39" s="147"/>
      <c r="Q39" s="146" t="n">
        <f aca="false">SUM(Q46:Q69)</f>
        <v>55229.9001899043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46336</v>
      </c>
      <c r="L44" s="163" t="s">
        <v>55</v>
      </c>
      <c r="M44" s="163"/>
      <c r="N44" s="163" t="n">
        <f aca="false">D68</f>
        <v>46428</v>
      </c>
      <c r="O44" s="163" t="s">
        <v>55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416449.97260274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205117.150684932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20545.432956277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12340.7469288797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14341.3416040533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416449.97260274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205117.150684932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16409.3720547945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10272.7164781385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12273.3111533121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416449.97260274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205117.150684932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12273.3111533121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8204.68602739726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10205.2807025708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416449.97260274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205117.150684932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8272.12180296491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6204.09135222368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8204.68602739726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416449.97260274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205117.150684932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4136.06090148245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4136.06090148245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6136.65557665603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416449.97260274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205117.150684932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2068.03045074123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4068.62512591481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1230702.90410959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615351.452054794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307675.726027397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307675.726027397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307675.726027397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307675.726027397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Семь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66834.3485382731</v>
      </c>
      <c r="L73" s="147"/>
      <c r="M73" s="147"/>
      <c r="N73" s="146" t="n">
        <f aca="false">SUM(N80:N103)</f>
        <v>46871.7914803425</v>
      </c>
      <c r="O73" s="147"/>
      <c r="P73" s="147"/>
      <c r="Q73" s="146" t="n">
        <f aca="false">SUM(Q80:Q103)</f>
        <v>59887.6711737917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n">
        <f aca="false">HLOOKUP(B73,калькулятор!$3:$5,3,0)</f>
        <v>45748</v>
      </c>
      <c r="I78" s="160" t="s">
        <v>55</v>
      </c>
      <c r="J78" s="161"/>
      <c r="K78" s="162" t="n">
        <f aca="false">D101</f>
        <v>46336</v>
      </c>
      <c r="L78" s="163" t="s">
        <v>55</v>
      </c>
      <c r="M78" s="163"/>
      <c r="N78" s="163" t="n">
        <f aca="false">D102</f>
        <v>46428</v>
      </c>
      <c r="O78" s="163" t="s">
        <v>55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451570.959458775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222415.547196113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22278.1161794244</v>
      </c>
      <c r="L80" s="178" t="n">
        <f aca="false">I80</f>
        <v>0.16</v>
      </c>
      <c r="M80" s="179" t="n">
        <f aca="false">IFERROR(N78-$D80,"")</f>
        <v>549</v>
      </c>
      <c r="N80" s="180" t="n">
        <f aca="false">IFERROR(IF(OR(C73="КУПК",C73="КУПК (РП/ЗРП)"),E80*L80/365*M80*0.25,0),"")</f>
        <v>13381.4942915798</v>
      </c>
      <c r="O80" s="181" t="n">
        <f aca="false">I80</f>
        <v>0.16</v>
      </c>
      <c r="P80" s="179" t="n">
        <f aca="false">IFERROR(Q78-$D80,"")</f>
        <v>638</v>
      </c>
      <c r="Q80" s="180" t="n">
        <f aca="false">IFERROR(IF(OR(C73="КУПК",C73="КУПК (РП/ЗРП)"),E80*O80/365*P80*0.25,0),"")</f>
        <v>15550.8075738214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451570.959458775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222415.547196113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17793.243775689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11139.0580897122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13308.3713719537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451570.959458775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222415.547196113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13308.3713719537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8896.62188784452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11065.9351700861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451570.959458775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222415.547196113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8969.74480747064</v>
      </c>
      <c r="L83" s="178" t="n">
        <f aca="false">I83</f>
        <v>0.16</v>
      </c>
      <c r="M83" s="179" t="n">
        <f aca="false">IFERROR(N78-$D83,"")</f>
        <v>276</v>
      </c>
      <c r="N83" s="180" t="n">
        <f aca="false">IFERROR(IF(OR(C73="КУПК",C73="КУПК (РП/ЗРП)"),E83*L83/365*M83*0.25,0),"")</f>
        <v>6727.30860560298</v>
      </c>
      <c r="O83" s="181" t="n">
        <f aca="false">I83</f>
        <v>0.16</v>
      </c>
      <c r="P83" s="179" t="n">
        <f aca="false">IFERROR(Q78-$D83,"")</f>
        <v>365</v>
      </c>
      <c r="Q83" s="180" t="n">
        <f aca="false">IFERROR(IF(OR(C73="КУПК",C73="КУПК (РП/ЗРП)"),E83*O83/365*P83*0.25,0),"")</f>
        <v>8896.62188784452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451570.959458775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222415.547196113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4484.87240373532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4484.87240373532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6654.18568597686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451570.959458775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222415.547196113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2242.43620186766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4411.7494841092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1334493.28317668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667246.641588338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333623.320794169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333623.320794169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333623.320794169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333623.320794169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46336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89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