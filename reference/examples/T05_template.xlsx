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<sst xmlns="http://schemas.openxmlformats.org/spreadsheetml/2006/main" count="296" uniqueCount="134">
  <si>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</si>
  <si>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</si>
  <si>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</si>
  <si>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</si>
  <si>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</si>
  <si>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</si>
  <si>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</si>
  <si>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</si>
  <si>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</si>
  <si>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</si>
  <si>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</si>
  <si>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Восемь</t>
  </si>
  <si>
    <t xml:space="preserve">Тестова Девять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</si>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</sst>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3</v>
      </c>
      <c r="G3" s="17" t="n">
        <v>1</v>
      </c>
      <c r="K3" s="18" t="s">
        <v>10</v>
      </c>
      <c r="L3" s="18"/>
      <c r="M3" s="18"/>
      <c r="N3" s="18"/>
      <c r="O3" s="16" t="s">
        <v>11</v>
      </c>
      <c r="P3" s="18" t="s">
        <v>10</v>
      </c>
      <c r="Q3" s="18"/>
      <c r="R3" s="18"/>
      <c r="S3" s="18"/>
      <c r="T3" s="16" t="s">
        <v>12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13</v>
      </c>
      <c r="L5" s="18"/>
      <c r="M5" s="18"/>
      <c r="N5" s="18"/>
      <c r="O5" s="24" t="n">
        <v>45748</v>
      </c>
      <c r="P5" s="18" t="s">
        <v>13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14</v>
      </c>
      <c r="L6" s="18"/>
      <c r="M6" s="18"/>
      <c r="N6" s="18"/>
      <c r="O6" s="27" t="n">
        <f aca="false">(MAX($G15:$G39,K15:K39))-O$5+1</f>
        <v>548</v>
      </c>
      <c r="P6" s="18" t="s">
        <v>14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15</v>
      </c>
      <c r="L7" s="18"/>
      <c r="M7" s="18"/>
      <c r="N7" s="18"/>
      <c r="O7" s="29" t="n">
        <f aca="false">IFERROR(SUM(O$45:O$79),0)</f>
        <v>3603287.67123288</v>
      </c>
      <c r="P7" s="18" t="s">
        <v>15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16</v>
      </c>
      <c r="L8" s="18"/>
      <c r="M8" s="18"/>
      <c r="N8" s="18"/>
      <c r="O8" s="29" t="n">
        <f aca="false">O$7*0.67</f>
        <v>2414202.73972603</v>
      </c>
      <c r="P8" s="18" t="s">
        <v>16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17</v>
      </c>
      <c r="L9" s="18"/>
      <c r="M9" s="18"/>
      <c r="N9" s="18"/>
      <c r="O9" s="29" t="n">
        <f aca="false">O$7-O$8</f>
        <v>1189084.93150685</v>
      </c>
      <c r="P9" s="18" t="s">
        <v>17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>1.2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6000000000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18</v>
      </c>
      <c r="L14" s="35"/>
      <c r="M14" s="35"/>
      <c r="N14" s="35"/>
      <c r="O14" s="36"/>
      <c r="P14" s="35" t="s">
        <v>18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19</v>
      </c>
      <c r="D15" s="40" t="s">
        <v>20</v>
      </c>
      <c r="E15" s="41" t="s">
        <v>21</v>
      </c>
      <c r="F15" s="41" t="s">
        <v>22</v>
      </c>
      <c r="G15" s="41" t="s">
        <v>23</v>
      </c>
      <c r="H15" s="41" t="s">
        <v>24</v>
      </c>
      <c r="I15" s="41" t="s">
        <v>25</v>
      </c>
      <c r="J15" s="42" t="s">
        <v>26</v>
      </c>
      <c r="K15" s="43" t="s">
        <v>27</v>
      </c>
      <c r="L15" s="44"/>
      <c r="M15" s="40" t="s">
        <v>28</v>
      </c>
      <c r="N15" s="40" t="s">
        <v>29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27</v>
      </c>
      <c r="Q15" s="44"/>
      <c r="R15" s="40" t="s">
        <v>28</v>
      </c>
      <c r="S15" s="40" t="s">
        <v>29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30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482840.547945206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6000000 000 ₽. Коэф. фин. рез. = 1.2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>402367.123287671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31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482840.547945206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6000000 000 ₽. Коэф. фин. рез. = 1.2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>402367.123287671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32</v>
      </c>
      <c r="F18" s="67"/>
      <c r="G18" s="68" t="n">
        <v>46006</v>
      </c>
      <c r="H18" s="68" t="n">
        <v>45916</v>
      </c>
      <c r="I18" s="65" t="n">
        <f aca="false">IF(H18="","",G18-H18)</f>
        <v>90</v>
      </c>
      <c r="J18" s="69" t="n">
        <f aca="false">IF(H18="","",DATE(YEAR(H18),ROUNDUP(MONTH(H18)/3,0)*3+2,10))</f>
        <v>45971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643787.397260274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6000000 000 ₽. Коэф. фин. рез. = 1.2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>603550.684931507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33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482840.547945206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6000000 000 ₽. Коэф. фин. рез. = 1.2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>402367.123287671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34</v>
      </c>
      <c r="F20" s="67"/>
      <c r="G20" s="68" t="n">
        <v>46171</v>
      </c>
      <c r="H20" s="68" t="n">
        <v>46081</v>
      </c>
      <c r="I20" s="65" t="n">
        <f aca="false">IF(H20="","",G20-H20)</f>
        <v>90</v>
      </c>
      <c r="J20" s="69" t="n">
        <f aca="false">IF(H20="","",DATE(YEAR(H20),ROUNDUP(MONTH(H20)/3,0)*3+2,10))</f>
        <v>46152</v>
      </c>
      <c r="K20" s="70" t="n">
        <v>46171</v>
      </c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724260.821917808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6000000 000 ₽. Коэф. фин. рез. = 1.2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>603550.684931507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35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482840.547945206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6000000 000 ₽. Коэф. фин. рез. = 1.2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>402367.123287671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36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37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1024534.79452055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6000000 000 ₽. Коэф. фин. рез. = 1.2</v>
      </c>
      <c r="P36" s="81"/>
      <c r="Q36" s="82"/>
      <c r="R36" s="83" t="s">
        <v>37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786717.808219178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38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39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604457.857849502</v>
      </c>
      <c r="O37" s="96" t="n">
        <v>6000000000</v>
      </c>
      <c r="P37" s="92"/>
      <c r="Q37" s="93"/>
      <c r="R37" s="94" t="s">
        <v>39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945653.397785701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40</v>
      </c>
      <c r="F38" s="100"/>
      <c r="G38" s="101" t="s">
        <v>41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>Выплаты приостановлены</v>
      </c>
      <c r="O38" s="109" t="n">
        <v>6000000000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42</v>
      </c>
      <c r="F39" s="113"/>
      <c r="G39" s="114" t="s">
        <v>43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O39" s="121" t="n">
        <v>6000000000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44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45</v>
      </c>
      <c r="L44" s="124" t="s">
        <v>46</v>
      </c>
      <c r="M44" s="124" t="s">
        <v>47</v>
      </c>
      <c r="N44" s="124" t="s">
        <v>48</v>
      </c>
      <c r="O44" s="124" t="s">
        <v>49</v>
      </c>
      <c r="P44" s="124" t="s">
        <v>45</v>
      </c>
      <c r="Q44" s="124" t="s">
        <v>46</v>
      </c>
      <c r="R44" s="124" t="s">
        <v>47</v>
      </c>
      <c r="S44" s="124" t="s">
        <v>48</v>
      </c>
      <c r="T44" s="124" t="s">
        <v>49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50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10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51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Восемь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92190.4605892288</v>
      </c>
      <c r="F6" s="138" t="n">
        <f aca="false">IF($B6="","",IF(OR($C6="МП",$C6="РУПК"),"",VLOOKUP($B6,$B$39:$S$1353,13,0)))</f>
        <v>62479.6261362357</v>
      </c>
      <c r="G6" s="138" t="n">
        <f aca="false">IF($B6="","",IF(OR($C6="МП",$C6="РУПК"),"",VLOOKUP($B6,$B$39:$S$1353,16,0)))</f>
        <v>78329.7482004128</v>
      </c>
      <c r="H6" s="138" t="n">
        <f aca="false">IF(B6="","",SUM(D6:G6))</f>
        <v>232999.834925877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Девять</v>
      </c>
      <c r="C7" s="137" t="str">
        <f aca="false">IFERROR(INDEX(калькулятор!$1:$3,1,MATCH(B7,калькулятор!$3:$3,0)),"")</f>
        <v>РУПК</v>
      </c>
      <c r="D7" s="138" t="n">
        <f aca="false">IF(B7="","",IF(OR($C7="КУПК",$C7="КУПК (РП/ЗРП)"),"",VLOOKUP($B7,$B$39:$S$1353,10,0)))</f>
        <v>158935.589566523</v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n">
        <f aca="false">IF(B7="","",SUM(D7:G7))</f>
        <v>158935.589566523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Восемь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52</v>
      </c>
      <c r="J39" s="143" t="s">
        <v>53</v>
      </c>
      <c r="K39" s="146" t="n">
        <f aca="false">SUM(K46:K69)</f>
        <v>92190.4605892288</v>
      </c>
      <c r="L39" s="147"/>
      <c r="M39" s="147"/>
      <c r="N39" s="146" t="n">
        <f aca="false">SUM(N46:N69)</f>
        <v>62479.6261362357</v>
      </c>
      <c r="O39" s="147"/>
      <c r="P39" s="147"/>
      <c r="Q39" s="146" t="n">
        <f aca="false">SUM(Q46:Q69)</f>
        <v>78329.7482004128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54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55</v>
      </c>
      <c r="D44" s="159" t="n">
        <f aca="false">HLOOKUP(B39,калькулятор!$3:$5,3,0)</f>
        <v>45748</v>
      </c>
      <c r="I44" s="160" t="s">
        <v>56</v>
      </c>
      <c r="J44" s="161"/>
      <c r="K44" s="162" t="n">
        <f aca="false">D67</f>
        <v>46336</v>
      </c>
      <c r="L44" s="163" t="s">
        <v>56</v>
      </c>
      <c r="M44" s="163"/>
      <c r="N44" s="163" t="n">
        <f aca="false">D68</f>
        <v>46428</v>
      </c>
      <c r="O44" s="163" t="s">
        <v>56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57</v>
      </c>
      <c r="C45" s="165" t="s">
        <v>58</v>
      </c>
      <c r="D45" s="166" t="s">
        <v>59</v>
      </c>
      <c r="E45" s="166" t="s">
        <v>60</v>
      </c>
      <c r="F45" s="167" t="s">
        <v>61</v>
      </c>
      <c r="H45" s="168"/>
      <c r="I45" s="169" t="s">
        <v>62</v>
      </c>
      <c r="J45" s="163" t="s">
        <v>63</v>
      </c>
      <c r="K45" s="170" t="s">
        <v>64</v>
      </c>
      <c r="L45" s="169" t="s">
        <v>62</v>
      </c>
      <c r="M45" s="163" t="s">
        <v>63</v>
      </c>
      <c r="N45" s="171" t="s">
        <v>64</v>
      </c>
      <c r="O45" s="172" t="s">
        <v>62</v>
      </c>
      <c r="P45" s="163" t="s">
        <v>63</v>
      </c>
      <c r="Q45" s="171" t="s">
        <v>64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482840.547945206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237816.98630137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23820.7918333646</v>
      </c>
      <c r="L46" s="178" t="n">
        <f aca="false">I46</f>
        <v>0.16</v>
      </c>
      <c r="M46" s="179" t="n">
        <f aca="false">IFERROR(N44-$D46,"")</f>
        <v>549</v>
      </c>
      <c r="N46" s="180" t="n">
        <f aca="false">IFERROR(IF(OR(C39="КУПК",C39="КУПК (РП/ЗРП)"),E46*L46/365*M46*0.25,0),"")</f>
        <v>14308.1123813098</v>
      </c>
      <c r="O46" s="181" t="n">
        <f aca="false">I46</f>
        <v>0.16</v>
      </c>
      <c r="P46" s="179" t="n">
        <f aca="false">IFERROR(Q44-$D46,"")</f>
        <v>638</v>
      </c>
      <c r="Q46" s="180" t="n">
        <f aca="false">IFERROR(IF(OR(C39="КУПК",C39="КУПК (РП/ЗРП)"),E46*O46/365*P46*0.25,0),"")</f>
        <v>16627.6424394821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482840.547945206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237816.98630137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19025.3589041096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11910.3959166823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14229.9259748546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643787.397260274</v>
      </c>
      <c r="D48" s="175" t="n">
        <f aca="false">IFERROR(IF(VLOOKUP(B48,калькулятор!E:J,6,0)=0,"",VLOOKUP(B48,калькулятор!E:J,6,0)),"")</f>
        <v>45971</v>
      </c>
      <c r="E48" s="176" t="n">
        <f aca="false">IF(B48="Финальная веха*",0,IF(D48="","",IF(B48="","",IFERROR(C48/67*33,""))))</f>
        <v>317089.315068493</v>
      </c>
      <c r="F48" s="177"/>
      <c r="H48" s="130"/>
      <c r="I48" s="178" t="n">
        <v>0.16</v>
      </c>
      <c r="J48" s="179" t="n">
        <f aca="false">IFERROR(K44-D48,"")</f>
        <v>365</v>
      </c>
      <c r="K48" s="180" t="n">
        <f aca="false">IFERROR(IF(OR(C39="КУПК",C39="КУПК (РП/ЗРП)"),E48*I48/365*J48*0.5,E48*I48/365*J48),"")</f>
        <v>25367.1452054795</v>
      </c>
      <c r="L48" s="178" t="n">
        <f aca="false">I48</f>
        <v>0.16</v>
      </c>
      <c r="M48" s="179" t="n">
        <f aca="false">IFERROR(N44-$D48,"")</f>
        <v>457</v>
      </c>
      <c r="N48" s="180" t="n">
        <f aca="false">IFERROR(IF(OR(C39="КУПК",C39="КУПК (РП/ЗРП)"),E48*L48/365*M48*0.25,0),"")</f>
        <v>15880.5278889097</v>
      </c>
      <c r="O48" s="181" t="n">
        <f aca="false">I48</f>
        <v>0.16</v>
      </c>
      <c r="P48" s="179" t="n">
        <f aca="false">IFERROR(Q44-$D48,"")</f>
        <v>546</v>
      </c>
      <c r="Q48" s="180" t="n">
        <f aca="false">IFERROR(IF(OR(C39="КУПК",C39="КУПК (РП/ЗРП)"),E48*O48/365*P48*0.25,0),"")</f>
        <v>18973.2346331394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482840.547945206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237816.98630137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9590.86585851004</v>
      </c>
      <c r="L49" s="178" t="n">
        <f aca="false">I49</f>
        <v>0.16</v>
      </c>
      <c r="M49" s="179" t="n">
        <f aca="false">IFERROR(N44-$D49,"")</f>
        <v>276</v>
      </c>
      <c r="N49" s="180" t="n">
        <f aca="false">IFERROR(IF(OR(C39="КУПК",C39="КУПК (РП/ЗРП)"),E49*L49/365*M49*0.25,0),"")</f>
        <v>7193.14939388253</v>
      </c>
      <c r="O49" s="181" t="n">
        <f aca="false">I49</f>
        <v>0.16</v>
      </c>
      <c r="P49" s="179" t="n">
        <f aca="false">IFERROR(Q44-$D49,"")</f>
        <v>365</v>
      </c>
      <c r="Q49" s="180" t="n">
        <f aca="false">IFERROR(IF(OR(C39="КУПК",C39="КУПК (РП/ЗРП)"),E49*O49/365*P49*0.25,0),"")</f>
        <v>9512.67945205479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724260.821917808</v>
      </c>
      <c r="D50" s="175" t="n">
        <f aca="false">IFERROR(IF(VLOOKUP(B50,калькулятор!E:J,6,0)=0,"",VLOOKUP(B50,калькулятор!E:J,6,0)),"")</f>
        <v>46152</v>
      </c>
      <c r="E50" s="176" t="n">
        <f aca="false">IF(B50="Финальная веха*",0,IF(D50="","",IF(B50="","",IFERROR(C50/67*33,""))))</f>
        <v>356725.479452055</v>
      </c>
      <c r="F50" s="182"/>
      <c r="H50" s="130"/>
      <c r="I50" s="178" t="n">
        <v>0.16</v>
      </c>
      <c r="J50" s="179" t="n">
        <f aca="false">IFERROR(K44-D50,"")</f>
        <v>184</v>
      </c>
      <c r="K50" s="180" t="n">
        <f aca="false">IFERROR(IF(OR(C39="КУПК",C39="КУПК (РП/ЗРП)"),E50*I50/365*J50*0.5,E50*I50/365*J50),"")</f>
        <v>14386.2987877651</v>
      </c>
      <c r="L50" s="178" t="n">
        <f aca="false">I50</f>
        <v>0.16</v>
      </c>
      <c r="M50" s="179" t="n">
        <f aca="false">IFERROR(N44-$D50,"")</f>
        <v>276</v>
      </c>
      <c r="N50" s="180" t="n">
        <f aca="false">IFERROR(IF(OR(C39="КУПК",C39="КУПК (РП/ЗРП)"),E50*L50/365*M50*0.25,0),"")</f>
        <v>10789.7240908238</v>
      </c>
      <c r="O50" s="181" t="n">
        <f aca="false">I50</f>
        <v>0.16</v>
      </c>
      <c r="P50" s="179" t="n">
        <f aca="false">IFERROR(Q44-$D50,"")</f>
        <v>365</v>
      </c>
      <c r="Q50" s="180" t="n">
        <f aca="false">IFERROR(IF(OR(C39="КУПК",C39="КУПК (РП/ЗРП)"),E50*O50/365*P50*0.25,0),"")</f>
        <v>14269.0191780822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482840.547945206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237816.98630137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2397.71646462751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4717.24652279977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1024534.79452055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512267.397260274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256133.698630137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256133.698630137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256133.698630137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256133.698630137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Девять</v>
      </c>
      <c r="C73" s="142" t="str">
        <f aca="false">INDEX(калькулятор!$1:$3,1,MATCH(B73,калькулятор!$3:$3,0))</f>
        <v>РУПК</v>
      </c>
      <c r="D73" s="143"/>
      <c r="E73" s="143"/>
      <c r="F73" s="144"/>
      <c r="G73" s="144"/>
      <c r="H73" s="144"/>
      <c r="I73" s="145" t="s">
        <v>52</v>
      </c>
      <c r="J73" s="143" t="s">
        <v>53</v>
      </c>
      <c r="K73" s="146" t="n">
        <f aca="false">SUM(K80:K103)</f>
        <v>158935.589566523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54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Выплата</v>
      </c>
      <c r="J77" s="156"/>
      <c r="K77" s="156"/>
      <c r="L77" s="157" t="str">
        <f aca="false">IF(OR(C73="КУПК",C73="КУПК (РП/ЗРП)"),"2 выплата (25%)","Выплата")</f>
        <v>Выплата</v>
      </c>
      <c r="M77" s="157"/>
      <c r="N77" s="157"/>
      <c r="O77" s="158" t="str">
        <f aca="false">IF(OR(C73="КУПК",C73="КУПК (РП/ЗРП)"),"3 выплата (25%)","Выплата")</f>
        <v>Выплата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55</v>
      </c>
      <c r="D78" s="159" t="n">
        <f aca="false">HLOOKUP(B73,калькулятор!$3:$5,3,0)</f>
        <v>45748</v>
      </c>
      <c r="I78" s="160" t="s">
        <v>56</v>
      </c>
      <c r="J78" s="161"/>
      <c r="K78" s="162" t="n">
        <f aca="false">D101</f>
        <v>46336</v>
      </c>
      <c r="L78" s="163" t="s">
        <v>56</v>
      </c>
      <c r="M78" s="163"/>
      <c r="N78" s="163" t="str">
        <f aca="false">D102</f>
        <v/>
      </c>
      <c r="O78" s="163" t="s">
        <v>56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57</v>
      </c>
      <c r="C79" s="165" t="s">
        <v>58</v>
      </c>
      <c r="D79" s="166" t="s">
        <v>59</v>
      </c>
      <c r="E79" s="166" t="s">
        <v>60</v>
      </c>
      <c r="F79" s="167" t="s">
        <v>61</v>
      </c>
      <c r="H79" s="168"/>
      <c r="I79" s="169" t="s">
        <v>62</v>
      </c>
      <c r="J79" s="163" t="s">
        <v>63</v>
      </c>
      <c r="K79" s="170" t="s">
        <v>64</v>
      </c>
      <c r="L79" s="169" t="s">
        <v>62</v>
      </c>
      <c r="M79" s="163" t="s">
        <v>63</v>
      </c>
      <c r="N79" s="171" t="s">
        <v>64</v>
      </c>
      <c r="O79" s="172" t="s">
        <v>62</v>
      </c>
      <c r="P79" s="163" t="s">
        <v>63</v>
      </c>
      <c r="Q79" s="171" t="s">
        <v>64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402367.123287671</v>
      </c>
      <c r="D80" s="175" t="n">
        <f aca="false">IFERROR(IF(VLOOKUP(B80,калькулятор!E:J,6,0)=0,"",VLOOKUP(B80,калькулятор!E:J,6,0)),"")</f>
        <v>45879</v>
      </c>
      <c r="E80" s="176" t="n">
        <f aca="false">IF(B80="Финальная веха*",0,IF(D80="","",IF(B80="","",IFERROR(C80/67*33,""))))</f>
        <v>198180.821917808</v>
      </c>
      <c r="F80" s="177"/>
      <c r="H80" s="130"/>
      <c r="I80" s="178" t="n">
        <v>0.16</v>
      </c>
      <c r="J80" s="179" t="n">
        <f aca="false">IFERROR(K78-D80,"")</f>
        <v>457</v>
      </c>
      <c r="K80" s="180" t="n">
        <f aca="false">IFERROR(IF(OR(C73="КУПК",C73="КУПК (РП/ЗРП)"),E80*I80/365*J80*0.5,E80*I80/365*J80),"")</f>
        <v>39701.3197222744</v>
      </c>
      <c r="L80" s="178" t="n">
        <f aca="false">I80</f>
        <v>0.16</v>
      </c>
      <c r="M80" s="179" t="str">
        <f aca="false">IFERROR(N78-$D80,"")</f>
        <v/>
      </c>
      <c r="N80" s="180" t="n">
        <f aca="false">IFERROR(IF(OR(C73="КУПК",C73="КУПК (РП/ЗРП)"),E80*L80/365*M80*0.25,0),"")</f>
        <v>0</v>
      </c>
      <c r="O80" s="181" t="n">
        <f aca="false">I80</f>
        <v>0.16</v>
      </c>
      <c r="P80" s="179" t="str">
        <f aca="false">IFERROR(Q78-$D80,"")</f>
        <v/>
      </c>
      <c r="Q80" s="180" t="n">
        <f aca="false">IFERROR(IF(OR(C73="КУПК",C73="КУПК (РП/ЗРП)"),E80*O80/365*P80*0.25,0),"")</f>
        <v>0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402367.123287671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198180.821917808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31708.9315068493</v>
      </c>
      <c r="L81" s="178" t="n">
        <f aca="false">I81</f>
        <v>0.16</v>
      </c>
      <c r="M81" s="179" t="str">
        <f aca="false">IFERROR(N78-$D81,"")</f>
        <v/>
      </c>
      <c r="N81" s="180" t="n">
        <f aca="false">IFERROR(IF(OR(C73="КУПК",C73="КУПК (РП/ЗРП)"),E81*L81/365*M81*0.25,0),"")</f>
        <v>0</v>
      </c>
      <c r="O81" s="181" t="n">
        <f aca="false">I81</f>
        <v>0.16</v>
      </c>
      <c r="P81" s="179" t="str">
        <f aca="false">IFERROR(Q78-$D81,"")</f>
        <v/>
      </c>
      <c r="Q81" s="180" t="n">
        <f aca="false">IFERROR(IF(OR(C73="КУПК",C73="КУПК (РП/ЗРП)"),E81*O81/365*P81*0.25,0),"")</f>
        <v>0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603550.684931507</v>
      </c>
      <c r="D82" s="175" t="n">
        <f aca="false">IFERROR(IF(VLOOKUP(B82,калькулятор!E:J,6,0)=0,"",VLOOKUP(B82,калькулятор!E:J,6,0)),"")</f>
        <v>45971</v>
      </c>
      <c r="E82" s="176" t="n">
        <f aca="false">IF(B82="Финальная веха*",0,IF(D82="","",IF(B82="","",IFERROR(C82/67*33,""))))</f>
        <v>297271.232876712</v>
      </c>
      <c r="F82" s="177"/>
      <c r="H82" s="130"/>
      <c r="I82" s="178" t="n">
        <v>0.16</v>
      </c>
      <c r="J82" s="179" t="n">
        <f aca="false">IFERROR(K78-D82,"")</f>
        <v>365</v>
      </c>
      <c r="K82" s="180" t="n">
        <f aca="false">IFERROR(IF(OR(C73="КУПК",C73="КУПК (РП/ЗРП)"),E82*I82/365*J82*0.5,E82*I82/365*J82),"")</f>
        <v>47563.397260274</v>
      </c>
      <c r="L82" s="178" t="n">
        <f aca="false">I82</f>
        <v>0.16</v>
      </c>
      <c r="M82" s="179" t="str">
        <f aca="false">IFERROR(N78-$D82,"")</f>
        <v/>
      </c>
      <c r="N82" s="180" t="n">
        <f aca="false">IFERROR(IF(OR(C73="КУПК",C73="КУПК (РП/ЗРП)"),E82*L82/365*M82*0.25,0),"")</f>
        <v>0</v>
      </c>
      <c r="O82" s="181" t="n">
        <f aca="false">I82</f>
        <v>0.16</v>
      </c>
      <c r="P82" s="179" t="str">
        <f aca="false">IFERROR(Q78-$D82,"")</f>
        <v/>
      </c>
      <c r="Q82" s="180" t="n">
        <f aca="false">IFERROR(IF(OR(C73="КУПК",C73="КУПК (РП/ЗРП)"),E82*O82/365*P82*0.25,0),"")</f>
        <v>0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402367.123287671</v>
      </c>
      <c r="D83" s="175" t="n">
        <f aca="false">IFERROR(IF(VLOOKUP(B83,калькулятор!E:J,6,0)=0,"",VLOOKUP(B83,калькулятор!E:J,6,0)),"")</f>
        <v>46152</v>
      </c>
      <c r="E83" s="176" t="n">
        <f aca="false">IF(B83="Финальная веха*",0,IF(D83="","",IF(B83="","",IFERROR(C83/67*33,""))))</f>
        <v>198180.821917808</v>
      </c>
      <c r="F83" s="177"/>
      <c r="H83" s="130"/>
      <c r="I83" s="178" t="n">
        <v>0.16</v>
      </c>
      <c r="J83" s="179" t="n">
        <f aca="false">IFERROR(K78-D83,"")</f>
        <v>184</v>
      </c>
      <c r="K83" s="180" t="n">
        <f aca="false">IFERROR(IF(OR(C73="КУПК",C73="КУПК (РП/ЗРП)"),E83*I83/365*J83*0.5,E83*I83/365*J83),"")</f>
        <v>15984.7764308501</v>
      </c>
      <c r="L83" s="178" t="n">
        <f aca="false">I83</f>
        <v>0.16</v>
      </c>
      <c r="M83" s="179" t="str">
        <f aca="false">IFERROR(N78-$D83,"")</f>
        <v/>
      </c>
      <c r="N83" s="180" t="n">
        <f aca="false">IFERROR(IF(OR(C73="КУПК",C73="КУПК (РП/ЗРП)"),E83*L83/365*M83*0.25,0),"")</f>
        <v>0</v>
      </c>
      <c r="O83" s="181" t="n">
        <f aca="false">I83</f>
        <v>0.16</v>
      </c>
      <c r="P83" s="179" t="str">
        <f aca="false">IFERROR(Q78-$D83,"")</f>
        <v/>
      </c>
      <c r="Q83" s="180" t="n">
        <f aca="false">IFERROR(IF(OR(C73="КУПК",C73="КУПК (РП/ЗРП)"),E83*O83/365*P83*0.25,0),"")</f>
        <v>0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603550.684931507</v>
      </c>
      <c r="D84" s="175" t="n">
        <f aca="false">IFERROR(IF(VLOOKUP(B84,калькулятор!E:J,6,0)=0,"",VLOOKUP(B84,калькулятор!E:J,6,0)),"")</f>
        <v>46152</v>
      </c>
      <c r="E84" s="176" t="n">
        <f aca="false">IF(B84="Финальная веха*",0,IF(D84="","",IF(B84="","",IFERROR(C84/67*33,""))))</f>
        <v>297271.232876712</v>
      </c>
      <c r="F84" s="182"/>
      <c r="H84" s="130"/>
      <c r="I84" s="178" t="n">
        <v>0.16</v>
      </c>
      <c r="J84" s="179" t="n">
        <f aca="false">IFERROR(K78-D84,"")</f>
        <v>184</v>
      </c>
      <c r="K84" s="180" t="n">
        <f aca="false">IFERROR(IF(OR(C73="КУПК",C73="КУПК (РП/ЗРП)"),E84*I84/365*J84*0.5,E84*I84/365*J84),"")</f>
        <v>23977.1646462751</v>
      </c>
      <c r="L84" s="178" t="n">
        <f aca="false">I84</f>
        <v>0.16</v>
      </c>
      <c r="M84" s="179" t="str">
        <f aca="false">IFERROR(N78-$D84,"")</f>
        <v/>
      </c>
      <c r="N84" s="180" t="n">
        <f aca="false">IFERROR(IF(OR(C73="КУПК",C73="КУПК (РП/ЗРП)"),E84*L84/365*M84*0.25,0),"")</f>
        <v>0</v>
      </c>
      <c r="O84" s="181" t="n">
        <f aca="false">I84</f>
        <v>0.16</v>
      </c>
      <c r="P84" s="179" t="str">
        <f aca="false">IFERROR(Q78-$D84,"")</f>
        <v/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402367.123287671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198180.821917808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str">
        <f aca="false">IFERROR(N78-$D85,"")</f>
        <v/>
      </c>
      <c r="N85" s="180" t="n">
        <f aca="false">IFERROR(IF(OR(C73="КУПК",C73="КУПК (РП/ЗРП)"),E85*L85/365*M85*0.25,0),"")</f>
        <v>0</v>
      </c>
      <c r="O85" s="181" t="n">
        <f aca="false">I85</f>
        <v>0.16</v>
      </c>
      <c r="P85" s="179" t="str">
        <f aca="false">IFERROR(Q78-$D85,"")</f>
        <v/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n">
        <f aca="false">IFERROR(IF(OR(C73="КУПК",C73="КУПК (РП/ЗРП)"),E86*L86/365*M86*0.25,0),"")</f>
        <v>0</v>
      </c>
      <c r="O86" s="181" t="n">
        <f aca="false">I86</f>
        <v>0</v>
      </c>
      <c r="P86" s="179" t="str">
        <f aca="false">IFERROR(Q78-$D86,"")</f>
        <v/>
      </c>
      <c r="Q86" s="180" t="n">
        <f aca="false">IFERROR(IF(OR(C73="КУПК",C73="КУПК (РП/ЗРП)"),E86*O86/365*P86*0.25,0),"")</f>
        <v>0</v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n">
        <f aca="false">IFERROR(IF(OR(C73="КУПК",C73="КУПК (РП/ЗРП)"),E87*L87/365*M87*0.25,0),"")</f>
        <v>0</v>
      </c>
      <c r="O87" s="181" t="n">
        <f aca="false">I87</f>
        <v>0</v>
      </c>
      <c r="P87" s="179" t="str">
        <f aca="false">IFERROR(Q78-$D87,"")</f>
        <v/>
      </c>
      <c r="Q87" s="180" t="n">
        <f aca="false">IFERROR(IF(OR(C73="КУПК",C73="КУПК (РП/ЗРП)"),E87*O87/365*P87*0.25,0),"")</f>
        <v>0</v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n">
        <f aca="false">IFERROR(IF(OR(C73="КУПК",C73="КУПК (РП/ЗРП)"),E88*L88/365*M88*0.25,0),"")</f>
        <v>0</v>
      </c>
      <c r="O88" s="181" t="n">
        <f aca="false">I88</f>
        <v>0</v>
      </c>
      <c r="P88" s="179" t="str">
        <f aca="false">IFERROR(Q78-$D88,"")</f>
        <v/>
      </c>
      <c r="Q88" s="180" t="n">
        <f aca="false">IFERROR(IF(OR(C73="КУПК",C73="КУПК (РП/ЗРП)"),E88*O88/365*P88*0.25,0),"")</f>
        <v>0</v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n">
        <f aca="false">IFERROR(IF(OR(C73="КУПК",C73="КУПК (РП/ЗРП)"),E89*L89/365*M89*0.25,0),"")</f>
        <v>0</v>
      </c>
      <c r="O89" s="181" t="n">
        <f aca="false">I89</f>
        <v>0</v>
      </c>
      <c r="P89" s="179" t="str">
        <f aca="false">IFERROR(Q78-$D89,"")</f>
        <v/>
      </c>
      <c r="Q89" s="180" t="n">
        <f aca="false">IFERROR(IF(OR(C73="КУПК",C73="КУПК (РП/ЗРП)"),E89*O89/365*P89*0.25,0),"")</f>
        <v>0</v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n">
        <f aca="false">IFERROR(IF(OR(C73="КУПК",C73="КУПК (РП/ЗРП)"),E90*L90/365*M90*0.25,0),"")</f>
        <v>0</v>
      </c>
      <c r="O90" s="181" t="n">
        <f aca="false">I90</f>
        <v>0</v>
      </c>
      <c r="P90" s="179" t="str">
        <f aca="false">IFERROR(Q78-$D90,"")</f>
        <v/>
      </c>
      <c r="Q90" s="180" t="n">
        <f aca="false">IFERROR(IF(OR(C73="КУПК",C73="КУПК (РП/ЗРП)"),E90*O90/365*P90*0.25,0),"")</f>
        <v>0</v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n">
        <f aca="false">IFERROR(IF(OR(C73="КУПК",C73="КУПК (РП/ЗРП)"),E91*L91/365*M91*0.25,0),"")</f>
        <v>0</v>
      </c>
      <c r="O91" s="181" t="n">
        <f aca="false">I91</f>
        <v>0</v>
      </c>
      <c r="P91" s="179" t="str">
        <f aca="false">IFERROR(Q78-$D91,"")</f>
        <v/>
      </c>
      <c r="Q91" s="180" t="n">
        <f aca="false">IFERROR(IF(OR(C73="КУПК",C73="КУПК (РП/ЗРП)"),E91*O91/365*P91*0.25,0),"")</f>
        <v>0</v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n">
        <f aca="false">IFERROR(IF(OR(C73="КУПК",C73="КУПК (РП/ЗРП)"),E92*L92/365*M92*0.25,0),"")</f>
        <v>0</v>
      </c>
      <c r="O92" s="181" t="n">
        <f aca="false">I92</f>
        <v>0</v>
      </c>
      <c r="P92" s="179" t="str">
        <f aca="false">IFERROR(Q78-$D92,"")</f>
        <v/>
      </c>
      <c r="Q92" s="180" t="n">
        <f aca="false">IFERROR(IF(OR(C73="КУПК",C73="КУПК (РП/ЗРП)"),E92*O92/365*P92*0.25,0),"")</f>
        <v>0</v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n">
        <f aca="false">IFERROR(IF(OR(C73="КУПК",C73="КУПК (РП/ЗРП)"),E93*L93/365*M93*0.25,0),"")</f>
        <v>0</v>
      </c>
      <c r="O93" s="181" t="n">
        <f aca="false">I93</f>
        <v>0</v>
      </c>
      <c r="P93" s="179" t="str">
        <f aca="false">IFERROR(Q78-$D93,"")</f>
        <v/>
      </c>
      <c r="Q93" s="180" t="n">
        <f aca="false">IFERROR(IF(OR(C73="КУПК",C73="КУПК (РП/ЗРП)"),E93*O93/365*P93*0.25,0),"")</f>
        <v>0</v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n">
        <f aca="false">IFERROR(IF(OR(C73="КУПК",C73="КУПК (РП/ЗРП)"),E94*L94/365*M94*0.25,0),"")</f>
        <v>0</v>
      </c>
      <c r="O94" s="181" t="n">
        <f aca="false">I94</f>
        <v>0</v>
      </c>
      <c r="P94" s="179" t="str">
        <f aca="false">IFERROR(Q78-$D94,"")</f>
        <v/>
      </c>
      <c r="Q94" s="180" t="n">
        <f aca="false">IFERROR(IF(OR(C73="КУПК",C73="КУПК (РП/ЗРП)"),E94*O94/365*P94*0.25,0),"")</f>
        <v>0</v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n">
        <f aca="false">IFERROR(IF(OR(C73="КУПК",C73="КУПК (РП/ЗРП)"),E95*L95/365*M95*0.25,0),"")</f>
        <v>0</v>
      </c>
      <c r="O95" s="181" t="n">
        <f aca="false">I95</f>
        <v>0</v>
      </c>
      <c r="P95" s="179" t="str">
        <f aca="false">IFERROR(Q78-$D95,"")</f>
        <v/>
      </c>
      <c r="Q95" s="180" t="n">
        <f aca="false">IFERROR(IF(OR(C73="КУПК",C73="КУПК (РП/ЗРП)"),E95*O95/365*P95*0.25,0),"")</f>
        <v>0</v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n">
        <f aca="false">IFERROR(IF(OR(C73="КУПК",C73="КУПК (РП/ЗРП)"),E96*L96/365*M96*0.25,0),"")</f>
        <v>0</v>
      </c>
      <c r="O96" s="181" t="n">
        <f aca="false">I96</f>
        <v>0</v>
      </c>
      <c r="P96" s="179" t="str">
        <f aca="false">IFERROR(Q78-$D96,"")</f>
        <v/>
      </c>
      <c r="Q96" s="180" t="n">
        <f aca="false">IFERROR(IF(OR(C73="КУПК",C73="КУПК (РП/ЗРП)"),E96*O96/365*P96*0.25,0),"")</f>
        <v>0</v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n">
        <f aca="false">IFERROR(IF(OR(C73="КУПК",C73="КУПК (РП/ЗРП)"),E97*L97/365*M97*0.25,0),"")</f>
        <v>0</v>
      </c>
      <c r="O97" s="181" t="n">
        <f aca="false">I97</f>
        <v>0</v>
      </c>
      <c r="P97" s="179" t="str">
        <f aca="false">IFERROR(Q78-$D97,"")</f>
        <v/>
      </c>
      <c r="Q97" s="180" t="n">
        <f aca="false">IFERROR(IF(OR(C73="КУПК",C73="КУПК (РП/ЗРП)"),E97*O97/365*P97*0.25,0),"")</f>
        <v>0</v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n">
        <f aca="false">IFERROR(IF(OR(C73="КУПК",C73="КУПК (РП/ЗРП)"),E98*L98/365*M98*0.25,0),"")</f>
        <v>0</v>
      </c>
      <c r="O98" s="181" t="n">
        <f aca="false">I98</f>
        <v>0</v>
      </c>
      <c r="P98" s="179" t="str">
        <f aca="false">IFERROR(Q78-$D98,"")</f>
        <v/>
      </c>
      <c r="Q98" s="180" t="n">
        <f aca="false">IFERROR(IF(OR(C73="КУПК",C73="КУПК (РП/ЗРП)"),E98*O98/365*P98*0.25,0),"")</f>
        <v>0</v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n">
        <f aca="false">IFERROR(IF(OR(C73="КУПК",C73="КУПК (РП/ЗРП)"),E99*L99/365*M99*0.25,0),"")</f>
        <v>0</v>
      </c>
      <c r="O99" s="181" t="n">
        <f aca="false">I99</f>
        <v>0</v>
      </c>
      <c r="P99" s="179" t="str">
        <f aca="false">IFERROR(Q78-$D99,"")</f>
        <v/>
      </c>
      <c r="Q99" s="180" t="n">
        <f aca="false">IFERROR(IF(OR(C73="КУПК",C73="КУПК (РП/ЗРП)"),E99*O99/365*P99*0.25,0),"")</f>
        <v>0</v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786717.808219178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786717.808219178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/>
      </c>
      <c r="C102" s="202" t="str">
        <f aca="false">IF(OR(C73="КУПК",C73="КУПК (РП/ЗРП)"),C100*25%,"")</f>
        <v/>
      </c>
      <c r="D102" s="203" t="str">
        <f aca="false">IFERROR(IF(VLOOKUP(B102,калькулятор!E:J,6,0)=0,"",VLOOKUP(B102,калькулятор!E:J,6,0)),"")</f>
        <v/>
      </c>
      <c r="E102" s="176" t="str">
        <f aca="false">C102</f>
        <v/>
      </c>
      <c r="F102" s="204"/>
      <c r="I102" s="188"/>
      <c r="J102" s="189"/>
      <c r="K102" s="190"/>
      <c r="L102" s="178"/>
      <c r="M102" s="179" t="str">
        <f aca="false">IF(OR(C73="КУПК",C73="КУПК (РП/ЗРП)"),IF(D101="","",D102-D101),"")</f>
        <v/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/>
      </c>
      <c r="C103" s="206" t="str">
        <f aca="false">IF(OR(C73="КУПК",C73="КУПК (РП/ЗРП)"),C100*25%,"")</f>
        <v/>
      </c>
      <c r="D103" s="207" t="str">
        <f aca="false">IFERROR(IF(VLOOKUP(B103,калькулятор!E:J,6,0)=0,"",VLOOKUP(B103,калькулятор!E:J,6,0)),"")</f>
        <v/>
      </c>
      <c r="E103" s="208" t="str">
        <f aca="false">C103</f>
        <v/>
      </c>
      <c r="F103" s="209"/>
      <c r="I103" s="188"/>
      <c r="J103" s="189"/>
      <c r="K103" s="190"/>
      <c r="L103" s="188"/>
      <c r="M103" s="189"/>
      <c r="N103" s="190"/>
      <c r="O103" s="181"/>
      <c r="P103" s="179" t="str">
        <f aca="false">IF(OR(C73="КУПК",C73="КУПК (РП/ЗРП)"),IF(D101="","",D103-D101),"")</f>
        <v/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52</v>
      </c>
      <c r="J107" s="143" t="s">
        <v>53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54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55</v>
      </c>
      <c r="D112" s="159" t="e">
        <f aca="false">HLOOKUP(B107,калькулятор!$3:$5,3,0)</f>
        <v>#VALUE!</v>
      </c>
      <c r="I112" s="160" t="s">
        <v>56</v>
      </c>
      <c r="J112" s="161"/>
      <c r="K112" s="162" t="n">
        <f aca="false">D135</f>
        <v>46336</v>
      </c>
      <c r="L112" s="163" t="s">
        <v>56</v>
      </c>
      <c r="M112" s="163"/>
      <c r="N112" s="163" t="str">
        <f aca="false">D136</f>
        <v/>
      </c>
      <c r="O112" s="163" t="s">
        <v>56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57</v>
      </c>
      <c r="C113" s="165" t="s">
        <v>58</v>
      </c>
      <c r="D113" s="166" t="s">
        <v>59</v>
      </c>
      <c r="E113" s="166" t="s">
        <v>60</v>
      </c>
      <c r="F113" s="167" t="s">
        <v>61</v>
      </c>
      <c r="H113" s="168"/>
      <c r="I113" s="169" t="s">
        <v>62</v>
      </c>
      <c r="J113" s="163" t="s">
        <v>63</v>
      </c>
      <c r="K113" s="170" t="s">
        <v>64</v>
      </c>
      <c r="L113" s="169" t="s">
        <v>62</v>
      </c>
      <c r="M113" s="163" t="s">
        <v>63</v>
      </c>
      <c r="N113" s="171" t="s">
        <v>64</v>
      </c>
      <c r="O113" s="172" t="s">
        <v>62</v>
      </c>
      <c r="P113" s="163" t="s">
        <v>63</v>
      </c>
      <c r="Q113" s="171" t="s">
        <v>64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45971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365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46152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184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65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66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67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68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69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10</v>
      </c>
      <c r="C12" s="229" t="s">
        <v>70</v>
      </c>
      <c r="D12" s="230" t="s">
        <v>71</v>
      </c>
      <c r="E12" s="231" t="s">
        <v>72</v>
      </c>
      <c r="F12" s="231" t="s">
        <v>73</v>
      </c>
      <c r="G12" s="232" t="s">
        <v>74</v>
      </c>
      <c r="H12" s="231" t="s">
        <v>75</v>
      </c>
      <c r="I12" s="232" t="s">
        <v>76</v>
      </c>
      <c r="J12" s="233"/>
    </row>
    <row r="13" customFormat="false" ht="15" hidden="false" customHeight="false" outlineLevel="0" collapsed="false">
      <c r="B13" s="234" t="s">
        <v>77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78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79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80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81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82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83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84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85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86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87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54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66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67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68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10</v>
      </c>
      <c r="C37" s="248" t="s">
        <v>88</v>
      </c>
      <c r="D37" s="249" t="s">
        <v>71</v>
      </c>
      <c r="E37" s="250" t="s">
        <v>72</v>
      </c>
      <c r="F37" s="250" t="s">
        <v>73</v>
      </c>
      <c r="G37" s="250"/>
      <c r="J37" s="241"/>
    </row>
    <row r="38" customFormat="false" ht="15" hidden="false" customHeight="false" outlineLevel="0" collapsed="false">
      <c r="B38" s="251" t="s">
        <v>77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78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79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80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81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82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83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84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85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86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87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89</v>
      </c>
      <c r="M1" s="256"/>
      <c r="N1" s="256"/>
    </row>
    <row r="2" customFormat="false" ht="15" hidden="false" customHeight="false" outlineLevel="0" collapsed="false">
      <c r="B2" s="257" t="s">
        <v>90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6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19</v>
      </c>
      <c r="J2" s="261" t="s">
        <v>102</v>
      </c>
      <c r="K2" s="261" t="s">
        <v>103</v>
      </c>
      <c r="L2" s="262" t="s">
        <v>23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