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<sst xmlns="http://schemas.openxmlformats.org/spreadsheetml/2006/main" count="296" uniqueCount="134">
  <si>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</si>
  <si>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</si>
  <si>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</si>
  <si>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</si>
  <si>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</si>
  <si>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 (РП/ЗРП)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</si>
  <si>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</si>
  <si>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</si>
  <si>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</si>
  <si>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</si>
  <si>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</si>
  <si>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Четыре</t>
  </si>
  <si>
    <t xml:space="preserve">Тестова Пять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</si>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</sst>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4000000000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4000000000</v>
      </c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1.5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>0.75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6400000000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2800000000</v>
      </c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603550.684931507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6400000 000 ₽. Коэф. фин. рез. = 1.5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301775.342465753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2800000 000 ₽. Коэф. фин. рез. = 0.75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603550.684931507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6400000 000 ₽. Коэф. фин. рез. = 1.5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301775.342465753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2800000 000 ₽. Коэф. фин. рез. = 0.75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603550.684931507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6400000 000 ₽. Коэф. фин. рез. = 1.5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301775.342465753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2800000 000 ₽. Коэф. фин. рез. = 0.75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603550.684931507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6400000 000 ₽. Коэф. фин. рез. = 1.5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301775.342465753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2800000 000 ₽. Коэф. фин. рез. = 0.75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603550.684931507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6400000 000 ₽. Коэф. фин. рез. = 1.5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301775.342465753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>Расчёт при NPV = 2800000 000 ₽. Коэф. фин. рез. = 0.75</v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603550.684931507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6400000 000 ₽. Коэф. фин. рез. = 1.5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301775.342465753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>Расчёт при NPV = 2800000 000 ₽. Коэф. фин. рез. = 0.75</v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1783627.39726027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6400000 000 ₽. Коэф. фин. рез. = 1.5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891813.698630137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2800000 000 ₽. Коэф. фин. рез. = 0.75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981402.289360105</v>
      </c>
      <c r="O37" s="96" t="n">
        <v>6400000000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490701.144680053</v>
      </c>
      <c r="T37" s="96" t="n">
        <v>2800000000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508684.018164759</v>
      </c>
      <c r="O38" s="109" t="n">
        <v>6400000000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n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254342.009082379</v>
      </c>
      <c r="T38" s="109" t="n">
        <v>2800000000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526080.493601051</v>
      </c>
      <c r="O39" s="121" t="n">
        <v>6400000000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n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>263040.246800525</v>
      </c>
      <c r="T39" s="121" t="n">
        <v>2800000000</v>
      </c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Четыре</v>
      </c>
      <c r="C6" s="137" t="str">
        <f aca="false">IFERROR(INDEX(калькулятор!$1:$3,1,MATCH(B6,калькулятор!$3:$3,0)),"")</f>
        <v>КУПК (РП/ЗРП)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89588.5907299681</v>
      </c>
      <c r="F6" s="138" t="n">
        <f aca="false">IF($B6="","",IF(OR($C6="МП",$C6="РУПК"),"",VLOOKUP($B6,$B$39:$S$1353,13,0)))</f>
        <v>62777.1688496904</v>
      </c>
      <c r="G6" s="138" t="n">
        <f aca="false">IF($B6="","",IF(OR($C6="МП",$C6="РУПК"),"",VLOOKUP($B6,$B$39:$S$1353,16,0)))</f>
        <v>80173.6442859824</v>
      </c>
      <c r="H6" s="138" t="n">
        <f aca="false">IF(B6="","",SUM(D6:G6))</f>
        <v>232539.403865641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Пять</v>
      </c>
      <c r="C7" s="137" t="str">
        <f aca="false">IFERROR(INDEX(калькулятор!$1:$3,1,MATCH(B7,калькулятор!$3:$3,0)),"")</f>
        <v>КУПК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44794.2953649841</v>
      </c>
      <c r="F7" s="138" t="n">
        <f aca="false">IF($B7="","",IF(OR($C7="МП",$C7="РУПК"),"",VLOOKUP($B7,$B$39:$S$1353,13,0)))</f>
        <v>31388.5844248452</v>
      </c>
      <c r="G7" s="138" t="n">
        <f aca="false">IF($B7="","",IF(OR($C7="МП",$C7="РУПК"),"",VLOOKUP($B7,$B$39:$S$1353,16,0)))</f>
        <v>40086.8221429912</v>
      </c>
      <c r="H7" s="138" t="n">
        <f aca="false">IF(B7="","",SUM(D7:G7))</f>
        <v>116269.70193282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Четыре</v>
      </c>
      <c r="C39" s="142" t="str">
        <f aca="false">INDEX(калькулятор!$1:$3,1,MATCH(B39,калькулятор!$3:$3,0))</f>
        <v>КУПК (РП/ЗРП)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89588.5907299681</v>
      </c>
      <c r="L39" s="147"/>
      <c r="M39" s="147"/>
      <c r="N39" s="146" t="n">
        <f aca="false">SUM(N46:N69)</f>
        <v>62777.1688496904</v>
      </c>
      <c r="O39" s="147"/>
      <c r="P39" s="147"/>
      <c r="Q39" s="146" t="n">
        <f aca="false">SUM(Q46:Q69)</f>
        <v>80173.6442859824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603550.684931507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297271.232876712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29906.3004691312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17950.29581535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20849.7083880653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603550.684931507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297271.232876712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23781.698630137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14887.9948958529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17787.4074685682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603550.684931507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297271.232876712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17787.4074685682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11890.8493150685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14790.2618877838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603550.684931507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297271.232876712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12118.893000563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9056.59208106587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11956.0046537812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603550.684931507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297271.232876712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5994.29116156878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5994.29116156878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8893.70373428411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603550.684931507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297271.232876712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2997.14558078439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5896.55815349972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1783627.39726027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891813.698630137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445906.849315068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445906.849315068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445906.849315068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445906.849315068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Пять</v>
      </c>
      <c r="C73" s="142" t="str">
        <f aca="false">INDEX(калькулятор!$1:$3,1,MATCH(B73,калькулятор!$3:$3,0))</f>
        <v>КУПК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44794.2953649841</v>
      </c>
      <c r="L73" s="147"/>
      <c r="M73" s="147"/>
      <c r="N73" s="146" t="n">
        <f aca="false">SUM(N80:N103)</f>
        <v>31388.5844248452</v>
      </c>
      <c r="O73" s="147"/>
      <c r="P73" s="147"/>
      <c r="Q73" s="146" t="n">
        <f aca="false">SUM(Q80:Q103)</f>
        <v>40086.8221429912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n">
        <f aca="false">D102</f>
        <v>46428</v>
      </c>
      <c r="O78" s="163" t="s">
        <v>56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301775.342465753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веха*",0,IF(D80="","",IF(B80="","",IFERROR(C80/67*33,""))))</f>
        <v>148635.616438356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14953.1502345656</v>
      </c>
      <c r="L80" s="178" t="n">
        <f aca="false">I80</f>
        <v>0.16</v>
      </c>
      <c r="M80" s="179" t="n">
        <f aca="false">IFERROR(N78-$D80,"")</f>
        <v>551</v>
      </c>
      <c r="N80" s="180" t="n">
        <f aca="false">IFERROR(IF(OR(C73="КУПК",C73="КУПК (РП/ЗРП)"),E80*L80/365*M80*0.25,0),"")</f>
        <v>8975.14790767499</v>
      </c>
      <c r="O80" s="181" t="n">
        <f aca="false">I80</f>
        <v>0.16</v>
      </c>
      <c r="P80" s="179" t="n">
        <f aca="false">IFERROR(Q78-$D80,"")</f>
        <v>640</v>
      </c>
      <c r="Q80" s="180" t="n">
        <f aca="false">IFERROR(IF(OR(C73="КУПК",C73="КУПК (РП/ЗРП)"),E80*O80/365*P80*0.25,0),"")</f>
        <v>10424.8541940327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301775.342465753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148635.616438356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11890.8493150685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7443.99744792644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8893.70373428411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301775.342465753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148635.616438356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8893.70373428411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5945.42465753425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7395.13094389191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301775.342465753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148635.616438356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6059.44650028148</v>
      </c>
      <c r="L83" s="178" t="n">
        <f aca="false">I83</f>
        <v>0.16</v>
      </c>
      <c r="M83" s="179" t="n">
        <f aca="false">IFERROR(N78-$D83,"")</f>
        <v>278</v>
      </c>
      <c r="N83" s="180" t="n">
        <f aca="false">IFERROR(IF(OR(C73="КУПК",C73="КУПК (РП/ЗРП)"),E83*L83/365*M83*0.25,0),"")</f>
        <v>4528.29604053293</v>
      </c>
      <c r="O83" s="181" t="n">
        <f aca="false">I83</f>
        <v>0.16</v>
      </c>
      <c r="P83" s="179" t="n">
        <f aca="false">IFERROR(Q78-$D83,"")</f>
        <v>367</v>
      </c>
      <c r="Q83" s="180" t="n">
        <f aca="false">IFERROR(IF(OR(C73="КУПК",C73="КУПК (РП/ЗРП)"),E83*O83/365*P83*0.25,0),"")</f>
        <v>5978.0023268906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301775.342465753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148635.616438356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2997.14558078439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2997.14558078439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4446.85186714205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301775.342465753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148635.616438356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1498.57279039219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2948.27907674986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891813.698630137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445906.849315068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222953.424657534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222953.424657534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222953.424657534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222953.424657534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5</v>
      </c>
      <c r="M2" s="256"/>
      <c r="N2" s="256"/>
    </row>
    <row r="3" customFormat="false" ht="15" hidden="false" customHeight="false" outlineLevel="0" collapsed="false">
      <c r="B3" s="257" t="s">
        <v>6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19</v>
      </c>
      <c r="J2" s="261" t="s">
        <v>102</v>
      </c>
      <c r="K2" s="261" t="s">
        <v>103</v>
      </c>
      <c r="L2" s="262" t="s">
        <v>23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