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<sst xmlns="http://schemas.openxmlformats.org/spreadsheetml/2006/main" count="296" uniqueCount="134">
  <si>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</si>
  <si>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</si>
  <si>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</si>
  <si>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</si>
  <si>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</si>
  <si>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</si>
  <si>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</si>
  <si>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</si>
  <si>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</si>
  <si>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</si>
  <si>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Да</t>
  </si>
  <si>
    <t xml:space="preserve">ФИО</t>
  </si>
  <si>
    <t xml:space="preserve">Тестов Пятнадцать</t>
  </si>
  <si>
    <t xml:space="preserve">Тестова Шестнадцать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</si>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</sst>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10</v>
      </c>
      <c r="G3" s="17" t="n">
        <v>0.6</v>
      </c>
      <c r="K3" s="18" t="s">
        <v>11</v>
      </c>
      <c r="L3" s="18"/>
      <c r="M3" s="18"/>
      <c r="N3" s="18"/>
      <c r="O3" s="16" t="s">
        <v>12</v>
      </c>
      <c r="P3" s="18" t="s">
        <v>11</v>
      </c>
      <c r="Q3" s="18"/>
      <c r="R3" s="18"/>
      <c r="S3" s="18"/>
      <c r="T3" s="16" t="s">
        <v>13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14</v>
      </c>
      <c r="L5" s="18"/>
      <c r="M5" s="18"/>
      <c r="N5" s="18"/>
      <c r="O5" s="24" t="n">
        <v>45748</v>
      </c>
      <c r="P5" s="18" t="s">
        <v>14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15</v>
      </c>
      <c r="L6" s="18"/>
      <c r="M6" s="18"/>
      <c r="N6" s="18"/>
      <c r="O6" s="27" t="n">
        <f aca="false">(MAX($G15:$G39,K15:K39))-O$5+1</f>
        <v>548</v>
      </c>
      <c r="P6" s="18" t="s">
        <v>15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16</v>
      </c>
      <c r="L7" s="18"/>
      <c r="M7" s="18"/>
      <c r="N7" s="18"/>
      <c r="O7" s="29" t="n">
        <f aca="false">IFERROR(SUM(O$45:O$79),0)</f>
        <v>3603287.67123288</v>
      </c>
      <c r="P7" s="18" t="s">
        <v>16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17</v>
      </c>
      <c r="L8" s="18"/>
      <c r="M8" s="18"/>
      <c r="N8" s="18"/>
      <c r="O8" s="29" t="n">
        <f aca="false">O$7*0.67</f>
        <v>2414202.73972603</v>
      </c>
      <c r="P8" s="18" t="s">
        <v>17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18</v>
      </c>
      <c r="L9" s="18"/>
      <c r="M9" s="18"/>
      <c r="N9" s="18"/>
      <c r="O9" s="29" t="n">
        <f aca="false">O$7-O$8</f>
        <v>1189084.93150685</v>
      </c>
      <c r="P9" s="18" t="s">
        <v>18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378225.095890411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378225.095890411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378225.095890411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378225.095890411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378225.095890411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378225.095890411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378225.095890411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378225.095890411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378225.095890411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378225.095890411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378225.095890411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378225.095890411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1117739.83561644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1117739.83561644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614848.778616626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1229697.55723325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11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Пятнадцать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55978.8608084068</v>
      </c>
      <c r="F6" s="138" t="n">
        <f aca="false">IF($B6="","",IF(OR($C6="МП",$C6="РУПК"),"",VLOOKUP($B6,$B$39:$S$1353,13,0)))</f>
        <v>39258.6977879527</v>
      </c>
      <c r="G6" s="138" t="n">
        <f aca="false">IF($B6="","",IF(OR($C6="МП",$C6="РУПК"),"",VLOOKUP($B6,$B$39:$S$1353,16,0)))</f>
        <v>50160.4890613624</v>
      </c>
      <c r="H6" s="138" t="n">
        <f aca="false">IF(B6="","",SUM(D6:G6))</f>
        <v>145398.047657722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Шестнадцать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111957.721616814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111957.721616814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Пятнадцать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55978.8608084068</v>
      </c>
      <c r="L39" s="147"/>
      <c r="M39" s="147"/>
      <c r="N39" s="146" t="n">
        <f aca="false">SUM(N46:N69)</f>
        <v>39258.6977879527</v>
      </c>
      <c r="O39" s="147"/>
      <c r="P39" s="147"/>
      <c r="Q39" s="146" t="n">
        <f aca="false">SUM(Q46:Q69)</f>
        <v>50160.4890613624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378225.095890411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186289.97260274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18659.6202694689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11208.0213653594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13024.9865775943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378225.095890411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186289.97260274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14903.1978082192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9329.81013473447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11146.7753469694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378225.095890411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186289.97260274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11146.7753469694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7451.59890410959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9268.56411634453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378225.095890411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186289.97260274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7512.84492249953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5634.63369187465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7451.59890410959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378225.095890411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186289.97260274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3756.42246124977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3756.42246124977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5573.38767348471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378225.095890411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186289.97260274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1878.21123062488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3695.17644285982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1117739.83561644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558869.917808219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279434.958904109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279434.958904109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279434.958904109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279434.958904109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Шестнадцать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111957.721616814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378225.095890411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186289.97260274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37319.2405389379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378225.095890411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186289.97260274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29806.3956164384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378225.095890411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186289.97260274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22293.5506939388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378225.095890411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186289.97260274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15025.6898449991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378225.095890411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186289.97260274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7512.84492249953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378225.095890411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186289.97260274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1117739.83561644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1117739.83561644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11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11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10</v>
      </c>
      <c r="P3" s="264" t="s">
        <v>10</v>
      </c>
      <c r="Q3" s="264" t="s">
        <v>3</v>
      </c>
      <c r="R3" s="264" t="s">
        <v>10</v>
      </c>
      <c r="S3" s="264" t="s">
        <v>10</v>
      </c>
      <c r="T3" s="264" t="s">
        <v>10</v>
      </c>
      <c r="U3" s="264" t="s">
        <v>10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10</v>
      </c>
      <c r="P4" s="264" t="s">
        <v>10</v>
      </c>
      <c r="Q4" s="264" t="s">
        <v>3</v>
      </c>
      <c r="R4" s="264" t="s">
        <v>10</v>
      </c>
      <c r="S4" s="264" t="s">
        <v>10</v>
      </c>
      <c r="T4" s="264" t="s">
        <v>10</v>
      </c>
      <c r="U4" s="264" t="s">
        <v>10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10</v>
      </c>
      <c r="P5" s="264" t="s">
        <v>3</v>
      </c>
      <c r="Q5" s="264" t="s">
        <v>3</v>
      </c>
      <c r="R5" s="264" t="s">
        <v>10</v>
      </c>
      <c r="S5" s="264" t="s">
        <v>3</v>
      </c>
      <c r="T5" s="264" t="s">
        <v>10</v>
      </c>
      <c r="U5" s="264" t="s">
        <v>10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10</v>
      </c>
      <c r="P6" s="264" t="s">
        <v>3</v>
      </c>
      <c r="Q6" s="264" t="s">
        <v>3</v>
      </c>
      <c r="R6" s="264" t="s">
        <v>10</v>
      </c>
      <c r="S6" s="264" t="s">
        <v>3</v>
      </c>
      <c r="T6" s="264" t="s">
        <v>10</v>
      </c>
      <c r="U6" s="264" t="s">
        <v>10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10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10</v>
      </c>
      <c r="P7" s="264" t="s">
        <v>3</v>
      </c>
      <c r="Q7" s="264" t="s">
        <v>3</v>
      </c>
      <c r="R7" s="264" t="s">
        <v>10</v>
      </c>
      <c r="S7" s="264" t="s">
        <v>3</v>
      </c>
      <c r="T7" s="264" t="s">
        <v>10</v>
      </c>
      <c r="U7" s="264" t="s">
        <v>10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