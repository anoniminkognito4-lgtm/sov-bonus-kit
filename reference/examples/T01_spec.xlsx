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<sst xmlns="http://schemas.openxmlformats.org/spreadsheetml/2006/main" count="293" uniqueCount="133">
  <si>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</si>
  <si>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</si>
  <si>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</si>
  <si>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</si>
  <si>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</si>
  <si>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</si>
  <si>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</si>
  <si>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</si>
  <si>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</si>
  <si>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</si>
  <si>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Один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</si>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</sst>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46295</v>
      </c>
      <c r="I36" s="76" t="n">
        <f aca="false">IF(H36="","",G36-H36)</f>
        <v>0</v>
      </c>
      <c r="J36" s="80" t="n">
        <f aca="false">IF(H36="","",(DATE(YEAR(H36),ROUNDUP(MONTH(H36)/3,0)*3+2,10)-IF(WEEKDAY(DATE(YEAR(H36),ROUNDUP(MONTH(H36)/3,0)*3+2,10),2)&gt;5,WEEKDAY(DATE(YEAR(H36),ROUNDUP(MONTH(H36)/3,0)*3+2,10),2)-5,0)))</f>
        <v>46336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1189084.93150685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46295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46336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1308536.38581347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46385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46428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46475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46517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Один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119451.454306624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119451.454306624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Один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119451.454306624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46336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459</v>
      </c>
      <c r="K46" s="180" t="n">
        <f aca="false">IFERROR(IF(OR(C39="КУПК",C39="КУПК (РП/ЗРП)"),E46*I46/365*J46*0.5,E46*I46/365*J46),"")</f>
        <v>39875.0672921749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365</v>
      </c>
      <c r="K47" s="180" t="n">
        <f aca="false">IFERROR(IF(OR(C39="КУПК",C39="КУПК (РП/ЗРП)"),E47*I47/365*J47*0.5,E47*I47/365*J47),"")</f>
        <v>31708.9315068493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273</v>
      </c>
      <c r="K48" s="180" t="n">
        <f aca="false">IFERROR(IF(OR(C39="КУПК",C39="КУПК (РП/ЗРП)"),E48*I48/365*J48*0.5,E48*I48/365*J48),"")</f>
        <v>23716.5432914243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186</v>
      </c>
      <c r="K49" s="180" t="n">
        <f aca="false">IFERROR(IF(OR(C39="КУПК",C39="КУПК (РП/ЗРП)"),E49*I49/365*J49*0.5,E49*I49/365*J49),"")</f>
        <v>16158.5240007506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92</v>
      </c>
      <c r="K50" s="180" t="n">
        <f aca="false">IFERROR(IF(OR(C39="КУПК",C39="КУПК (РП/ЗРП)"),E50*I50/365*J50*0.5,E50*I50/365*J50),"")</f>
        <v>7992.38821542503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0</v>
      </c>
      <c r="K51" s="180" t="n">
        <f aca="false">IFERROR(IF(OR(C39="КУПК",C39="КУПК (РП/ЗРП)"),E51*I51/365*J51*0.5,E51*I51/365*J51),"")</f>
        <v>0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1189084.93150685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1189084.93150685</v>
      </c>
      <c r="D67" s="196" t="n">
        <f aca="false">IFERROR(IF(VLOOKUP(B67,калькулятор!E:J,6,0)=0,"",VLOOKUP(B67,калькулятор!E:J,6,0)),"")</f>
        <v>46336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46336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459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365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273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46150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186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92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0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46336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46336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459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365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273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186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92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0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46336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