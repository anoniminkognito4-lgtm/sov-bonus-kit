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<sst xmlns="http://schemas.openxmlformats.org/spreadsheetml/2006/main" count="293" uniqueCount="133">
  <si>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</si>
  <si>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</si>
  <si>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</si>
  <si>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</si>
  <si>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</si>
  <si>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</si>
  <si>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</si>
  <si>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</si>
  <si>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</si>
  <si>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</si>
  <si>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Восемнадцать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</si>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</sst>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/>
      <c r="I17" s="48" t="str">
        <f aca="false">IF(H17="","",G17-H17)</f>
        <v/>
      </c>
      <c r="J17" s="52" t="str">
        <f aca="false">IF(H17="","",(DATE(YEAR(H17),ROUNDUP(MONTH(H17)/3,0)*3+2,10)-IF(WEEKDAY(DATE(YEAR(H17),ROUNDUP(MONTH(H17)/3,0)*3+2,10),2)&gt;5,WEEKDAY(DATE(YEAR(H17),ROUNDUP(MONTH(H17)/3,0)*3+2,10),2)-5,0)))</f>
        <v/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str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/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/>
      <c r="I19" s="65" t="str">
        <f aca="false">IF(H19="","",G19-H19)</f>
        <v/>
      </c>
      <c r="J19" s="69" t="str">
        <f aca="false">IF(H19="","",(DATE(YEAR(H19),ROUNDUP(MONTH(H19)/3,0)*3+2,10)-IF(WEEKDAY(DATE(YEAR(H19),ROUNDUP(MONTH(H19)/3,0)*3+2,10),2)&gt;5,WEEKDAY(DATE(YEAR(H19),ROUNDUP(MONTH(H19)/3,0)*3+2,10),2)-5,0)))</f>
        <v/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str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/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/>
      <c r="I20" s="65" t="str">
        <f aca="false">IF(H20="","",G20-H20)</f>
        <v/>
      </c>
      <c r="J20" s="69" t="str">
        <f aca="false">IF(H20="","",(DATE(YEAR(H20),ROUNDUP(MONTH(H20)/3,0)*3+2,10)-IF(WEEKDAY(DATE(YEAR(H20),ROUNDUP(MONTH(H20)/3,0)*3+2,10),2)&gt;5,WEEKDAY(DATE(YEAR(H20),ROUNDUP(MONTH(H20)/3,0)*3+2,10),2)-5,0)))</f>
        <v/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str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/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/>
      <c r="I21" s="65" t="str">
        <f aca="false">IF(H21="","",G21-H21)</f>
        <v/>
      </c>
      <c r="J21" s="69" t="str">
        <f aca="false">IF(H21="","",(DATE(YEAR(H21),ROUNDUP(MONTH(H21)/3,0)*3+2,10)-IF(WEEKDAY(DATE(YEAR(H21),ROUNDUP(MONTH(H21)/3,0)*3+2,10),2)&gt;5,WEEKDAY(DATE(YEAR(H21),ROUNDUP(MONTH(H21)/3,0)*3+2,10),2)-5,0)))</f>
        <v/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str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/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/>
      <c r="I36" s="76" t="str">
        <f aca="false">IF(H36="","",G36-H36)</f>
        <v/>
      </c>
      <c r="J36" s="80" t="str">
        <f aca="false">IF(H36="","",(DATE(YEAR(H36),ROUNDUP(MONTH(H36)/3,0)*3+2,10)-IF(WEEKDAY(DATE(YEAR(H36),ROUNDUP(MONTH(H36)/3,0)*3+2,10),2)&gt;5,WEEKDAY(DATE(YEAR(H36),ROUNDUP(MONTH(H36)/3,0)*3+2,10),2)-5,0)))</f>
        <v/>
      </c>
      <c r="K36" s="81"/>
      <c r="L36" s="82"/>
      <c r="M36" s="83" t="s">
        <v>35</v>
      </c>
      <c r="N36" s="84" t="str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/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str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/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str">
        <f aca="false">IF(H36="","",H36)</f>
        <v/>
      </c>
      <c r="I37" s="88"/>
      <c r="J37" s="91" t="str">
        <f aca="false">IF(H37="","",(DATE(YEAR(H37),ROUNDUP(MONTH(H37)/3,0)*3+2,10)-IF(WEEKDAY(DATE(YEAR(H37),ROUNDUP(MONTH(H37)/3,0)*3+2,10),2)&gt;5,WEEKDAY(DATE(YEAR(H37),ROUNDUP(MONTH(H37)/3,0)*3+2,10),2)-5,0)))</f>
        <v/>
      </c>
      <c r="K37" s="92"/>
      <c r="L37" s="93"/>
      <c r="M37" s="94" t="s">
        <v>37</v>
      </c>
      <c r="N37" s="95" t="str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/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/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str">
        <f aca="false">IF(H36="","",H36+90)</f>
        <v/>
      </c>
      <c r="I38" s="103"/>
      <c r="J38" s="104" t="str">
        <f aca="false">IF(H38="","",(DATE(YEAR(H38),ROUNDUP(MONTH(H38)/3,0)*3+2,10)-IF(WEEKDAY(DATE(YEAR(H38),ROUNDUP(MONTH(H38)/3,0)*3+2,10),2)&gt;5,WEEKDAY(DATE(YEAR(H38),ROUNDUP(MONTH(H38)/3,0)*3+2,10),2)-5,0)))</f>
        <v/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str">
        <f aca="false">IF(H36="","",H38+90)</f>
        <v/>
      </c>
      <c r="I39" s="111"/>
      <c r="J39" s="116" t="str">
        <f aca="false">IF(H39="","",(DATE(YEAR(H39),ROUNDUP(MONTH(H39)/3,0)*3+2,10)-IF(WEEKDAY(DATE(YEAR(H39),ROUNDUP(MONTH(H39)/3,0)*3+2,10),2)&gt;5,WEEKDAY(DATE(YEAR(H39),ROUNDUP(MONTH(H39)/3,0)*3+2,10),2)-5,0)))</f>
        <v/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Восемнадцать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0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0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Восемнадцать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0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str">
        <f aca="false">D67</f>
        <v/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str">
        <f aca="false">IFERROR(K44-D46,"")</f>
        <v/>
      </c>
      <c r="K46" s="180" t="str">
        <f aca="false">IFERROR(IF(OR(C39="КУПК",C39="КУПК (РП/ЗРП)"),E46*I46/365*J46*0.5,E46*I46/365*J46),"")</f>
        <v/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str">
        <f aca="false">IFERROR(VLOOKUP(B47,калькулятор!E:OJ,MATCH($B39,калькулятор!$3:$3,0)-5,0),"")</f>
        <v/>
      </c>
      <c r="D47" s="175" t="str">
        <f aca="false">IFERROR(IF(VLOOKUP(B47,калькулятор!E:J,6,0)=0,"",VLOOKUP(B47,калькулятор!E:J,6,0)),"")</f>
        <v/>
      </c>
      <c r="E47" s="176" t="str">
        <f aca="false">IF(B47="Финальная веха*",0,IF(D47="","",IF(B47="","",IFERROR(C47/67*33,""))))</f>
        <v/>
      </c>
      <c r="F47" s="177"/>
      <c r="H47" s="130"/>
      <c r="I47" s="178" t="n">
        <v>0.16</v>
      </c>
      <c r="J47" s="179" t="str">
        <f aca="false">IFERROR(K44-D47,"")</f>
        <v/>
      </c>
      <c r="K47" s="180" t="str">
        <f aca="false">IFERROR(IF(OR(C39="КУПК",C39="КУПК (РП/ЗРП)"),E47*I47/365*J47*0.5,E47*I47/365*J47),"")</f>
        <v/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str">
        <f aca="false">IFERROR(K44-D48,"")</f>
        <v/>
      </c>
      <c r="K48" s="180" t="str">
        <f aca="false">IFERROR(IF(OR(C39="КУПК",C39="КУПК (РП/ЗРП)"),E48*I48/365*J48*0.5,E48*I48/365*J48),"")</f>
        <v/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str">
        <f aca="false">IFERROR(VLOOKUP(B49,калькулятор!E:OJ,MATCH($B39,калькулятор!$3:$3,0)-5,0),"")</f>
        <v/>
      </c>
      <c r="D49" s="175" t="str">
        <f aca="false">IFERROR(IF(VLOOKUP(B49,калькулятор!E:J,6,0)=0,"",VLOOKUP(B49,калькулятор!E:J,6,0)),"")</f>
        <v/>
      </c>
      <c r="E49" s="176" t="str">
        <f aca="false">IF(B49="Финальная веха*",0,IF(D49="","",IF(B49="","",IFERROR(C49/67*33,""))))</f>
        <v/>
      </c>
      <c r="F49" s="177"/>
      <c r="H49" s="130"/>
      <c r="I49" s="178" t="n">
        <v>0.16</v>
      </c>
      <c r="J49" s="179" t="str">
        <f aca="false">IFERROR(K44-D49,"")</f>
        <v/>
      </c>
      <c r="K49" s="180" t="str">
        <f aca="false">IFERROR(IF(OR(C39="КУПК",C39="КУПК (РП/ЗРП)"),E49*I49/365*J49*0.5,E49*I49/365*J49),"")</f>
        <v/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str">
        <f aca="false">IFERROR(VLOOKUP(B50,калькулятор!E:OJ,MATCH($B39,калькулятор!$3:$3,0)-5,0),"")</f>
        <v/>
      </c>
      <c r="D50" s="175" t="str">
        <f aca="false">IFERROR(IF(VLOOKUP(B50,калькулятор!E:J,6,0)=0,"",VLOOKUP(B50,калькулятор!E:J,6,0)),"")</f>
        <v/>
      </c>
      <c r="E50" s="176" t="str">
        <f aca="false">IF(B50="Финальная веха*",0,IF(D50="","",IF(B50="","",IFERROR(C50/67*33,""))))</f>
        <v/>
      </c>
      <c r="F50" s="182"/>
      <c r="H50" s="130"/>
      <c r="I50" s="178" t="n">
        <v>0.16</v>
      </c>
      <c r="J50" s="179" t="str">
        <f aca="false">IFERROR(K44-D50,"")</f>
        <v/>
      </c>
      <c r="K50" s="180" t="str">
        <f aca="false">IFERROR(IF(OR(C39="КУПК",C39="КУПК (РП/ЗРП)"),E50*I50/365*J50*0.5,E50*I50/365*J50),"")</f>
        <v/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str">
        <f aca="false">IFERROR(VLOOKUP(B51,калькулятор!E:OJ,MATCH($B39,калькулятор!$3:$3,0)-5,0),"")</f>
        <v/>
      </c>
      <c r="D51" s="175" t="str">
        <f aca="false">IFERROR(IF(VLOOKUP(B51,калькулятор!E:J,6,0)=0,"",VLOOKUP(B51,калькулятор!E:J,6,0)),"")</f>
        <v/>
      </c>
      <c r="E51" s="176" t="str">
        <f aca="false">IF(B51="Финальная веха*",0,IF(D51="","",IF(B51="","",IFERROR(C51/67*33,""))))</f>
        <v/>
      </c>
      <c r="F51" s="177"/>
      <c r="H51" s="130"/>
      <c r="I51" s="178" t="n">
        <v>0.16</v>
      </c>
      <c r="J51" s="179" t="str">
        <f aca="false">IFERROR(K44-D51,"")</f>
        <v/>
      </c>
      <c r="K51" s="180" t="str">
        <f aca="false">IFERROR(IF(OR(C39="КУПК",C39="КУПК (РП/ЗРП)"),E51*I51/365*J51*0.5,E51*I51/365*J51),"")</f>
        <v/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str">
        <f aca="false">IFERROR(VLOOKUP(B66,калькулятор!E:OJ,MATCH(B39,калькулятор!$3:$3,0)-5,0),"")</f>
        <v/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str">
        <f aca="false">IF(OR(C39="КУПК",C39="КУПК (РП/ЗРП)"),C66*50%,C66)</f>
        <v/>
      </c>
      <c r="D67" s="196" t="str">
        <f aca="false">IFERROR(IF(VLOOKUP(B67,калькулятор!E:J,6,0)=0,"",VLOOKUP(B67,калькулятор!E:J,6,0)),"")</f>
        <v/>
      </c>
      <c r="E67" s="197" t="n">
        <f aca="false">IF(B67="Финальная веха*",0,IF(D67="","",IF(B67="","",IFERROR(C67/67*33,""))))</f>
        <v>0</v>
      </c>
      <c r="F67" s="198"/>
      <c r="I67" s="178"/>
      <c r="J67" s="179" t="str">
        <f aca="false">IFERROR(K44-D67,"")</f>
        <v/>
      </c>
      <c r="K67" s="180" t="str">
        <f aca="false">IFERROR(IF(OR(C39="КУПК",C39="КУПК (РП/ЗРП)"),E67*I67/365*J67*0.5,E67*I67/365*J67),"")</f>
        <v/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str">
        <f aca="false">D101</f>
        <v/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str">
        <f aca="false">IFERROR(K78-D80,"")</f>
        <v/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str">
        <f aca="false">IFERROR(IF(VLOOKUP(B81,калькулятор!E:J,6,0)=0,"",VLOOKUP(B81,калькулятор!E:J,6,0)),"")</f>
        <v/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str">
        <f aca="false">IFERROR(K78-D81,"")</f>
        <v/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str">
        <f aca="false">IFERROR(K78-D82,"")</f>
        <v/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str">
        <f aca="false">IFERROR(IF(VLOOKUP(B83,калькулятор!E:J,6,0)=0,"",VLOOKUP(B83,калькулятор!E:J,6,0)),"")</f>
        <v/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str">
        <f aca="false">IFERROR(K78-D83,"")</f>
        <v/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str">
        <f aca="false">IFERROR(IF(VLOOKUP(B84,калькулятор!E:J,6,0)=0,"",VLOOKUP(B84,калькулятор!E:J,6,0)),"")</f>
        <v/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str">
        <f aca="false">IFERROR(K78-D84,"")</f>
        <v/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str">
        <f aca="false">IFERROR(IF(VLOOKUP(B85,калькулятор!E:J,6,0)=0,"",VLOOKUP(B85,калькулятор!E:J,6,0)),"")</f>
        <v/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str">
        <f aca="false">IFERROR(K78-D85,"")</f>
        <v/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str">
        <f aca="false">IFERROR(IF(VLOOKUP(B101,калькулятор!E:J,6,0)=0,"",VLOOKUP(B101,калькулятор!E:J,6,0)),"")</f>
        <v/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str">
        <f aca="false">IFERROR(K78-D101,"")</f>
        <v/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str">
        <f aca="false">D135</f>
        <v/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str">
        <f aca="false">IFERROR(K112-D114,"")</f>
        <v/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str">
        <f aca="false">IFERROR(IF(VLOOKUP(B115,калькулятор!E:J,6,0)=0,"",VLOOKUP(B115,калькулятор!E:J,6,0)),"")</f>
        <v/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str">
        <f aca="false">IFERROR(K112-D115,"")</f>
        <v/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str">
        <f aca="false">IFERROR(K112-D116,"")</f>
        <v/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str">
        <f aca="false">IFERROR(IF(VLOOKUP(B117,калькулятор!E:J,6,0)=0,"",VLOOKUP(B117,калькулятор!E:J,6,0)),"")</f>
        <v/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str">
        <f aca="false">IFERROR(K112-D117,"")</f>
        <v/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str">
        <f aca="false">IFERROR(IF(VLOOKUP(B118,калькулятор!E:J,6,0)=0,"",VLOOKUP(B118,калькулятор!E:J,6,0)),"")</f>
        <v/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str">
        <f aca="false">IFERROR(K112-D118,"")</f>
        <v/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str">
        <f aca="false">IFERROR(IF(VLOOKUP(B119,калькулятор!E:J,6,0)=0,"",VLOOKUP(B119,калькулятор!E:J,6,0)),"")</f>
        <v/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str">
        <f aca="false">IFERROR(K112-D119,"")</f>
        <v/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str">
        <f aca="false">IFERROR(IF(VLOOKUP(B135,калькулятор!E:J,6,0)=0,"",VLOOKUP(B135,калькулятор!E:J,6,0)),"")</f>
        <v/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str">
        <f aca="false">IFERROR(K112-D135,"")</f>
        <v/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