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<sst xmlns="http://schemas.openxmlformats.org/spreadsheetml/2006/main" count="296" uniqueCount="134">
  <si>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</si>
  <si>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</si>
  <si>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</si>
  <si>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</si>
  <si>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</si>
  <si>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</si>
  <si>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КУПК (РП/ЗРП)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</si>
  <si>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</si>
  <si>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</si>
  <si>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</si>
  <si>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</si>
  <si>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Два</t>
  </si>
  <si>
    <t xml:space="preserve">Тестова Три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</si>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</sst>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3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>NPV стартовый</v>
      </c>
      <c r="Q4" s="18"/>
      <c r="R4" s="18"/>
      <c r="S4" s="18"/>
      <c r="T4" s="22" t="n">
        <v>5000000000</v>
      </c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O$7*0.67</f>
        <v>2414202.73972603</v>
      </c>
      <c r="P8" s="18" t="s">
        <v>16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1189084.93150685</v>
      </c>
      <c r="P9" s="18" t="s">
        <v>17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>Коэф.фин.результата этапа</v>
      </c>
      <c r="Q10" s="18"/>
      <c r="R10" s="18"/>
      <c r="S10" s="18"/>
      <c r="T10" s="31" t="n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>1</v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>NPV текущий</v>
      </c>
      <c r="Q11" s="18"/>
      <c r="R11" s="18"/>
      <c r="S11" s="18"/>
      <c r="T11" s="31" t="n">
        <v>5000000000</v>
      </c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Комментарий/NPV/KPI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30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>Расчёт при NPV = 5000000 000 ₽. Коэф. фин. рез. = 1</v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>Расчёт при NPV = 5000000 000 ₽. Коэф. фин. рез. = 1</v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402367.123287671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>Расчёт при NPV = 5000000 000 ₽. Коэф. фин. рез. = 1</v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>Расчёт при NPV = 5000000 000 ₽. Коэф. фин. рез. = 1</v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402367.123287671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>Расчёт при NPV = 5000000 000 ₽. Коэф. фин. рез. = 1</v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402367.123287671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>Расчёт при NPV = 5000000 000 ₽. Коэф. фин. рез. = 1</v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36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1189084.93150685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1189084.93150685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>Расчёт при NPV = 5000000 000 ₽. Коэф. фин. рез. = 1</v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654094.445336836</v>
      </c>
      <c r="O37" s="96" t="n">
        <v>5000000000</v>
      </c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654094.445336836</v>
      </c>
      <c r="T37" s="96" t="n">
        <v>5000000000</v>
      </c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>К выплате с процентами:</v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Выплаты приостановлены</v>
      </c>
      <c r="T38" s="109" t="n">
        <v>5000000000</v>
      </c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>К выплате с процентами:</v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T39" s="121" t="n">
        <v>5000000000</v>
      </c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Два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59551.9795834115</v>
      </c>
      <c r="F6" s="138" t="n">
        <f aca="false">IF($B6="","",IF(OR($C6="МП",$C6="РУПК"),"",VLOOKUP($B6,$B$39:$S$1353,13,0)))</f>
        <v>41764.5721148433</v>
      </c>
      <c r="G6" s="138" t="n">
        <f aca="false">IF($B6="","",IF(OR($C6="МП",$C6="РУПК"),"",VLOOKUP($B6,$B$39:$S$1353,16,0)))</f>
        <v>53362.2224057046</v>
      </c>
      <c r="H6" s="138" t="n">
        <f aca="false">IF(B6="","",SUM(D6:G6))</f>
        <v>154678.77410396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Три</v>
      </c>
      <c r="C7" s="137" t="str">
        <f aca="false">IFERROR(INDEX(калькулятор!$1:$3,1,MATCH(B7,калькулятор!$3:$3,0)),"")</f>
        <v>КУПК (РП/ЗРП)</v>
      </c>
      <c r="D7" s="138" t="str">
        <f aca="false">IF(B7="","",IF(OR($C7="КУПК",$C7="КУПК (РП/ЗРП)"),"",VLOOKUP($B7,$B$39:$S$1353,10,0)))</f>
        <v/>
      </c>
      <c r="E7" s="138" t="n">
        <f aca="false">IF($B7="","",IF(OR($C7="МП",$C7="РУПК"),"",VLOOKUP($B7,$B$39:$S$1353,10,0)))</f>
        <v>59551.9795834115</v>
      </c>
      <c r="F7" s="138" t="n">
        <f aca="false">IF($B7="","",IF(OR($C7="МП",$C7="РУПК"),"",VLOOKUP($B7,$B$39:$S$1353,13,0)))</f>
        <v>41764.5721148433</v>
      </c>
      <c r="G7" s="138" t="n">
        <f aca="false">IF($B7="","",IF(OR($C7="МП",$C7="РУПК"),"",VLOOKUP($B7,$B$39:$S$1353,16,0)))</f>
        <v>53362.2224057046</v>
      </c>
      <c r="H7" s="138" t="n">
        <f aca="false">IF(B7="","",SUM(D7:G7))</f>
        <v>154678.77410396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Два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59551.9795834115</v>
      </c>
      <c r="L39" s="147"/>
      <c r="M39" s="147"/>
      <c r="N39" s="146" t="n">
        <f aca="false">SUM(N46:N69)</f>
        <v>41764.5721148433</v>
      </c>
      <c r="O39" s="147"/>
      <c r="P39" s="147"/>
      <c r="Q39" s="146" t="n">
        <f aca="false">SUM(Q46:Q69)</f>
        <v>53362.2224057046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n">
        <f aca="false">D68</f>
        <v>46428</v>
      </c>
      <c r="O44" s="163" t="s">
        <v>56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19850.6598611372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11923.4269844248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13856.3686995684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15854.4657534247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9925.32993056859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11858.2716457121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11858.2716457121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7927.23287671233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9860.17459185589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7992.38821542503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5994.29116156878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7927.23287671233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3996.19410771252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3996.19410771252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5929.13582285607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1998.09705385626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3931.03876899981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1189084.93150685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594542.465753424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297271.232876712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297271.232876712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297271.232876712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297271.232876712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Три</v>
      </c>
      <c r="C73" s="142" t="str">
        <f aca="false">INDEX(калькулятор!$1:$3,1,MATCH(B73,калькулятор!$3:$3,0))</f>
        <v>КУПК (РП/ЗРП)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59551.9795834115</v>
      </c>
      <c r="L73" s="147"/>
      <c r="M73" s="147"/>
      <c r="N73" s="146" t="n">
        <f aca="false">SUM(N80:N103)</f>
        <v>41764.5721148433</v>
      </c>
      <c r="O73" s="147"/>
      <c r="P73" s="147"/>
      <c r="Q73" s="146" t="n">
        <f aca="false">SUM(Q80:Q103)</f>
        <v>53362.2224057046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1 выплата (50%)</v>
      </c>
      <c r="J77" s="156"/>
      <c r="K77" s="156"/>
      <c r="L77" s="157" t="str">
        <f aca="false">IF(OR(C73="КУПК",C73="КУПК (РП/ЗРП)"),"2 выплата (25%)","Выплата")</f>
        <v>2 выплата (25%)</v>
      </c>
      <c r="M77" s="157"/>
      <c r="N77" s="157"/>
      <c r="O77" s="158" t="str">
        <f aca="false">IF(OR(C73="КУПК",C73="КУПК (РП/ЗРП)"),"3 выплата (25%)","Выплата")</f>
        <v>3 выплата (25%)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45748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n">
        <f aca="false">D102</f>
        <v>46428</v>
      </c>
      <c r="O78" s="163" t="s">
        <v>56</v>
      </c>
      <c r="P78" s="163"/>
      <c r="Q78" s="163" t="n">
        <f aca="false">D103</f>
        <v>46517</v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0.16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19850.6598611372</v>
      </c>
      <c r="L80" s="178" t="n">
        <f aca="false">I80</f>
        <v>0.16</v>
      </c>
      <c r="M80" s="179" t="n">
        <f aca="false">IFERROR(N78-$D80,"")</f>
        <v>549</v>
      </c>
      <c r="N80" s="180" t="n">
        <f aca="false">IFERROR(IF(OR(C73="КУПК",C73="КУПК (РП/ЗРП)"),E80*L80/365*M80*0.25,0),"")</f>
        <v>11923.4269844248</v>
      </c>
      <c r="O80" s="181" t="n">
        <f aca="false">I80</f>
        <v>0.16</v>
      </c>
      <c r="P80" s="179" t="n">
        <f aca="false">IFERROR(Q78-$D80,"")</f>
        <v>638</v>
      </c>
      <c r="Q80" s="180" t="n">
        <f aca="false">IFERROR(IF(OR(C73="КУПК",C73="КУПК (РП/ЗРП)"),E80*O80/365*P80*0.25,0),"")</f>
        <v>13856.3686995684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15854.4657534247</v>
      </c>
      <c r="L81" s="178" t="n">
        <f aca="false">I81</f>
        <v>0.16</v>
      </c>
      <c r="M81" s="179" t="n">
        <f aca="false">IFERROR(N78-$D81,"")</f>
        <v>457</v>
      </c>
      <c r="N81" s="180" t="n">
        <f aca="false">IFERROR(IF(OR(C73="КУПК",C73="КУПК (РП/ЗРП)"),E81*L81/365*M81*0.25,0),"")</f>
        <v>9925.32993056859</v>
      </c>
      <c r="O81" s="181" t="n">
        <f aca="false">I81</f>
        <v>0.16</v>
      </c>
      <c r="P81" s="179" t="n">
        <f aca="false">IFERROR(Q78-$D81,"")</f>
        <v>546</v>
      </c>
      <c r="Q81" s="180" t="n">
        <f aca="false">IFERROR(IF(OR(C73="КУПК",C73="КУПК (РП/ЗРП)"),E81*O81/365*P81*0.25,0),"")</f>
        <v>11858.2716457121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402367.123287671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198180.821917808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11858.2716457121</v>
      </c>
      <c r="L82" s="178" t="n">
        <f aca="false">I82</f>
        <v>0.16</v>
      </c>
      <c r="M82" s="179" t="n">
        <f aca="false">IFERROR(N78-$D82,"")</f>
        <v>365</v>
      </c>
      <c r="N82" s="180" t="n">
        <f aca="false">IFERROR(IF(OR(C73="КУПК",C73="КУПК (РП/ЗРП)"),E82*L82/365*M82*0.25,0),"")</f>
        <v>7927.23287671233</v>
      </c>
      <c r="O82" s="181" t="n">
        <f aca="false">I82</f>
        <v>0.16</v>
      </c>
      <c r="P82" s="179" t="n">
        <f aca="false">IFERROR(Q78-$D82,"")</f>
        <v>454</v>
      </c>
      <c r="Q82" s="180" t="n">
        <f aca="false">IFERROR(IF(OR(C73="КУПК",C73="КУПК (РП/ЗРП)"),E82*O82/365*P82*0.25,0),"")</f>
        <v>9860.17459185589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7992.38821542503</v>
      </c>
      <c r="L83" s="178" t="n">
        <f aca="false">I83</f>
        <v>0.16</v>
      </c>
      <c r="M83" s="179" t="n">
        <f aca="false">IFERROR(N78-$D83,"")</f>
        <v>276</v>
      </c>
      <c r="N83" s="180" t="n">
        <f aca="false">IFERROR(IF(OR(C73="КУПК",C73="КУПК (РП/ЗРП)"),E83*L83/365*M83*0.25,0),"")</f>
        <v>5994.29116156878</v>
      </c>
      <c r="O83" s="181" t="n">
        <f aca="false">I83</f>
        <v>0.16</v>
      </c>
      <c r="P83" s="179" t="n">
        <f aca="false">IFERROR(Q78-$D83,"")</f>
        <v>365</v>
      </c>
      <c r="Q83" s="180" t="n">
        <f aca="false">IFERROR(IF(OR(C73="КУПК",C73="КУПК (РП/ЗРП)"),E83*O83/365*P83*0.25,0),"")</f>
        <v>7927.23287671233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402367.123287671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198180.821917808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3996.19410771252</v>
      </c>
      <c r="L84" s="178" t="n">
        <f aca="false">I84</f>
        <v>0.16</v>
      </c>
      <c r="M84" s="179" t="n">
        <f aca="false">IFERROR(N78-$D84,"")</f>
        <v>184</v>
      </c>
      <c r="N84" s="180" t="n">
        <f aca="false">IFERROR(IF(OR(C73="КУПК",C73="КУПК (РП/ЗРП)"),E84*L84/365*M84*0.25,0),"")</f>
        <v>3996.19410771252</v>
      </c>
      <c r="O84" s="181" t="n">
        <f aca="false">I84</f>
        <v>0.16</v>
      </c>
      <c r="P84" s="179" t="n">
        <f aca="false">IFERROR(Q78-$D84,"")</f>
        <v>273</v>
      </c>
      <c r="Q84" s="180" t="n">
        <f aca="false">IFERROR(IF(OR(C73="КУПК",C73="КУПК (РП/ЗРП)"),E84*O84/365*P84*0.25,0),"")</f>
        <v>5929.13582285607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402367.123287671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198180.821917808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n">
        <f aca="false">IFERROR(N78-$D85,"")</f>
        <v>92</v>
      </c>
      <c r="N85" s="180" t="n">
        <f aca="false">IFERROR(IF(OR(C73="КУПК",C73="КУПК (РП/ЗРП)"),E85*L85/365*M85*0.25,0),"")</f>
        <v>1998.09705385626</v>
      </c>
      <c r="O85" s="181" t="n">
        <f aca="false">I85</f>
        <v>0.16</v>
      </c>
      <c r="P85" s="179" t="n">
        <f aca="false">IFERROR(Q78-$D85,"")</f>
        <v>181</v>
      </c>
      <c r="Q85" s="180" t="n">
        <f aca="false">IFERROR(IF(OR(C73="КУПК",C73="КУПК (РП/ЗРП)"),E85*O85/365*P85*0.25,0),"")</f>
        <v>3931.03876899981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1189084.93150685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594542.465753424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>Финальная веха (25% ПБ)*</v>
      </c>
      <c r="C102" s="202" t="n">
        <f aca="false">IF(OR(C73="КУПК",C73="КУПК (РП/ЗРП)"),C100*25%,"")</f>
        <v>297271.232876712</v>
      </c>
      <c r="D102" s="203" t="n">
        <f aca="false">IFERROR(IF(VLOOKUP(B102,калькулятор!E:J,6,0)=0,"",VLOOKUP(B102,калькулятор!E:J,6,0)),"")</f>
        <v>46428</v>
      </c>
      <c r="E102" s="176" t="n">
        <f aca="false">C102</f>
        <v>297271.232876712</v>
      </c>
      <c r="F102" s="204"/>
      <c r="I102" s="188"/>
      <c r="J102" s="189"/>
      <c r="K102" s="190"/>
      <c r="L102" s="178"/>
      <c r="M102" s="179" t="n">
        <f aca="false">IF(OR(C73="КУПК",C73="КУПК (РП/ЗРП)"),IF(D101="","",D102-D101),"")</f>
        <v>92</v>
      </c>
      <c r="N102" s="180" t="n">
        <f aca="false">IFERROR(IF(D102="","",IF(OR(C73="КУПК",C73="КУПК (РП/ЗРП)"),E102*L102/365*M102,0)),"")</f>
        <v>0</v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>Финальная веха (25% ПБ) 2 часть*</v>
      </c>
      <c r="C103" s="206" t="n">
        <f aca="false">IF(OR(C73="КУПК",C73="КУПК (РП/ЗРП)"),C100*25%,"")</f>
        <v>297271.232876712</v>
      </c>
      <c r="D103" s="207" t="n">
        <f aca="false">IFERROR(IF(VLOOKUP(B103,калькулятор!E:J,6,0)=0,"",VLOOKUP(B103,калькулятор!E:J,6,0)),"")</f>
        <v>46517</v>
      </c>
      <c r="E103" s="208" t="n">
        <f aca="false">C103</f>
        <v>297271.232876712</v>
      </c>
      <c r="F103" s="209"/>
      <c r="I103" s="188"/>
      <c r="J103" s="189"/>
      <c r="K103" s="190"/>
      <c r="L103" s="188"/>
      <c r="M103" s="189"/>
      <c r="N103" s="190"/>
      <c r="O103" s="181"/>
      <c r="P103" s="179" t="n">
        <f aca="false">IF(OR(C73="КУПК",C73="КУПК (РП/ЗРП)"),IF(D101="","",D103-D101),"")</f>
        <v>181</v>
      </c>
      <c r="Q103" s="180" t="n">
        <f aca="false">IFERROR(IF(D103="","",IF(OR(C73="КУПК",C73="КУПК (РП/ЗРП)"),E103*O103/365*P103,0)),"")</f>
        <v>0</v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6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90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19</v>
      </c>
      <c r="J2" s="261" t="s">
        <v>102</v>
      </c>
      <c r="K2" s="261" t="s">
        <v>103</v>
      </c>
      <c r="L2" s="262" t="s">
        <v>23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