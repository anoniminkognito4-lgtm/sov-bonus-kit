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<sst xmlns="http://schemas.openxmlformats.org/spreadsheetml/2006/main" count="296" uniqueCount="134">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</sst>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0.3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362130.410958904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362130.410958904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362130.410958904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362130.410958904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362130.410958904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362130.410958904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362130.410958904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362130.410958904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362130.410958904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362130.410958904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362130.410958904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362130.410958904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1070176.43835616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1070176.43835616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588685.000803152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1177370.0016063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53596.7816250704</v>
      </c>
      <c r="F6" s="138" t="n">
        <f aca="false">IF($B6="","",IF(OR($C6="МП",$C6="РУПК"),"",VLOOKUP($B6,$B$39:$S$1353,13,0)))</f>
        <v>37588.114903359</v>
      </c>
      <c r="G6" s="138" t="n">
        <f aca="false">IF($B6="","",IF(OR($C6="МП",$C6="РУПК"),"",VLOOKUP($B6,$B$39:$S$1353,16,0)))</f>
        <v>48026.0001651342</v>
      </c>
      <c r="H6" s="138" t="n">
        <f aca="false">IF(B6="","",SUM(D6:G6))</f>
        <v>139210.896693564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107193.563250141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107193.563250141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53596.7816250704</v>
      </c>
      <c r="L39" s="147"/>
      <c r="M39" s="147"/>
      <c r="N39" s="146" t="n">
        <f aca="false">SUM(N46:N69)</f>
        <v>37588.114903359</v>
      </c>
      <c r="O39" s="147"/>
      <c r="P39" s="147"/>
      <c r="Q39" s="146" t="n">
        <f aca="false">SUM(Q46:Q69)</f>
        <v>48026.0001651342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362130.410958904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178362.739726027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17865.5938750235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10731.0842859824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12470.7318296116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362130.410958904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178362.739726027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14269.0191780822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8932.79693751173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10672.4444811409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362130.410958904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178362.739726027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10672.4444811409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7134.5095890411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8874.15713267029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362130.410958904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178362.739726027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7193.14939388253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5394.8620454119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7134.5095890411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362130.410958904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178362.739726027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3596.57469694126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3596.57469694126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5336.22224057046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362130.410958904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178362.739726027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1798.28734847063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3537.93489209983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1070176.43835616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535088.219178082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267544.109589041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267544.109589041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267544.109589041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267544.109589041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107193.563250141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362130.410958904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178362.739726027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35731.1877500469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362130.410958904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178362.739726027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28538.0383561644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362130.410958904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178362.739726027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21344.8889622819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362130.410958904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178362.739726027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14386.2987877651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362130.410958904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178362.739726027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7193.14939388253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362130.410958904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178362.739726027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1070176.43835616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1070176.43835616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