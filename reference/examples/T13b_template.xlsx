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калькулятор" sheetId="1" state="visible" r:id="rId3"/>
    <sheet name="проценты на отложенную часть" sheetId="2" state="hidden" r:id="rId4"/>
    <sheet name="+- 30%" sheetId="3" state="hidden" r:id="rId5"/>
    <sheet name="тех.лист" sheetId="4" state="hidden" r:id="rId6"/>
    <sheet name="Лист для загрузки вех" sheetId="5" state="hidden" r:id="rId7"/>
  </sheets>
  <definedNames>
    <definedName function="false" hidden="true" localSheetId="4" name="_xlnm._FilterDatabase" vbProcedure="false">'Лист для загрузки вех'!$A$2:$W$998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<sst xmlns="http://schemas.openxmlformats.org/spreadsheetml/2006/main" count="293" uniqueCount="133">
  <si>
    <t xml:space="preserve">Проект</t>
  </si>
  <si>
    <t xml:space="preserve">Тестовый проект</t>
  </si>
  <si>
    <t xml:space="preserve">Переход из предыдущего этапа (да/нет)</t>
  </si>
  <si>
    <t xml:space="preserve">Нет</t>
  </si>
  <si>
    <t xml:space="preserve">Должность</t>
  </si>
  <si>
    <t xml:space="preserve">РУПК</t>
  </si>
  <si>
    <t xml:space="preserve">Старт нового этапа</t>
  </si>
  <si>
    <t xml:space="preserve">Условная должность</t>
  </si>
  <si>
    <t xml:space="preserve">Отношение к БС (для использования К переданных к перевыставлению затрат)</t>
  </si>
  <si>
    <t xml:space="preserve">ФИО</t>
  </si>
  <si>
    <t xml:space="preserve">Тестова Двадцать</t>
  </si>
  <si>
    <t xml:space="preserve">Дата начала работы на этапе</t>
  </si>
  <si>
    <t xml:space="preserve">Длительность текущего этапа</t>
  </si>
  <si>
    <t xml:space="preserve">Проектный бонус (ПБ) этапа с учетом % загруженности</t>
  </si>
  <si>
    <t xml:space="preserve">Сумма на авансы по вехам</t>
  </si>
  <si>
    <t xml:space="preserve">Остаток бонуса на финал этапа (при 100% выполнении сроков) </t>
  </si>
  <si>
    <t xml:space="preserve">Итого к выплате за отчётный квартал</t>
  </si>
  <si>
    <t xml:space="preserve">Этап</t>
  </si>
  <si>
    <t xml:space="preserve">№п/п</t>
  </si>
  <si>
    <t xml:space="preserve">Наименование вехи</t>
  </si>
  <si>
    <t xml:space="preserve">Корпус/
Строение/
Очередь</t>
  </si>
  <si>
    <t xml:space="preserve">Плановый срок</t>
  </si>
  <si>
    <t xml:space="preserve">Фактический  срок выполнения</t>
  </si>
  <si>
    <t xml:space="preserve">Просрочка/опережение к.дн</t>
  </si>
  <si>
    <t xml:space="preserve">Дата выплаты бонуса за веху</t>
  </si>
  <si>
    <t xml:space="preserve">Инд. Срок</t>
  </si>
  <si>
    <t xml:space="preserve">Вес вехи</t>
  </si>
  <si>
    <t xml:space="preserve">Сумма бонуса вехи</t>
  </si>
  <si>
    <t xml:space="preserve">Мотивационная веха 1</t>
  </si>
  <si>
    <t xml:space="preserve">Мотивационная веха 2</t>
  </si>
  <si>
    <t xml:space="preserve">Мотивационная веха 3</t>
  </si>
  <si>
    <t xml:space="preserve">Мотивационная веха 4</t>
  </si>
  <si>
    <t xml:space="preserve">Мотивационная веха 5</t>
  </si>
  <si>
    <t xml:space="preserve">Мотивационная веха 6</t>
  </si>
  <si>
    <t xml:space="preserve">Ключевая веха этапа</t>
  </si>
  <si>
    <t xml:space="preserve">Финальный бонус без накопленных процентов</t>
  </si>
  <si>
    <t xml:space="preserve">Финальная веха*</t>
  </si>
  <si>
    <t xml:space="preserve">К выплате с процентами:</t>
  </si>
  <si>
    <t xml:space="preserve">Финальная веха (25% ПБ)*</t>
  </si>
  <si>
    <t xml:space="preserve">выплата через 1 кв</t>
  </si>
  <si>
    <t xml:space="preserve">Финальная веха (25% ПБ) 2 часть *</t>
  </si>
  <si>
    <t xml:space="preserve">выплата через 2 кв</t>
  </si>
  <si>
    <t xml:space="preserve">*На отложенную часть бонуса начисляются проценты, исходя из Ключевой ставки ЦБ РФ. Рассчитывается в конце этапа, после закрытия финальной вехи.</t>
  </si>
  <si>
    <t xml:space="preserve">Начало периода</t>
  </si>
  <si>
    <t xml:space="preserve">Конец периода</t>
  </si>
  <si>
    <t xml:space="preserve">Коэффициент загруженности</t>
  </si>
  <si>
    <t xml:space="preserve">Бонус за период</t>
  </si>
  <si>
    <t xml:space="preserve">ПБ за период</t>
  </si>
  <si>
    <t xml:space="preserve">Расчет должен быть для каждого сотрудника персонально</t>
  </si>
  <si>
    <t xml:space="preserve">сумма</t>
  </si>
  <si>
    <t xml:space="preserve">ячейки с цветом</t>
  </si>
  <si>
    <t xml:space="preserve">заполняется СОВ</t>
  </si>
  <si>
    <t xml:space="preserve">Бонус этапа</t>
  </si>
  <si>
    <t xml:space="preserve">Дата начала работы сотрудника на проекте</t>
  </si>
  <si>
    <t xml:space="preserve">Индексация до даты:</t>
  </si>
  <si>
    <t xml:space="preserve">Веха (только вехи авансирования)</t>
  </si>
  <si>
    <t xml:space="preserve">Сумма бонуса</t>
  </si>
  <si>
    <t xml:space="preserve">Дата фактической выплаты 
(10 число после отчетной сессии)</t>
  </si>
  <si>
    <t xml:space="preserve">Подлежит индексации</t>
  </si>
  <si>
    <t xml:space="preserve">К выплате (накопленные суммы процентов)</t>
  </si>
  <si>
    <t xml:space="preserve">Ключевая ставка ЦБ за период</t>
  </si>
  <si>
    <t xml:space="preserve">Длительность индексации</t>
  </si>
  <si>
    <t xml:space="preserve">Сумма доплаты по индексации</t>
  </si>
  <si>
    <t xml:space="preserve">Бонус по вехам</t>
  </si>
  <si>
    <t xml:space="preserve">Зеленые столбцы запросить в ФГВ</t>
  </si>
  <si>
    <t xml:space="preserve">Заполнить столбец, выделенный желтым цветом ("% перераспределения")</t>
  </si>
  <si>
    <t xml:space="preserve">Сумма по столбцу "Бонус к распределению" должна быть = 0</t>
  </si>
  <si>
    <t xml:space="preserve">Количество вех (не считая финальную)</t>
  </si>
  <si>
    <t xml:space="preserve">Расчётный бонус</t>
  </si>
  <si>
    <t xml:space="preserve">% перераспределения</t>
  </si>
  <si>
    <t xml:space="preserve">Бонус к распределению</t>
  </si>
  <si>
    <t xml:space="preserve">Итого бонус к выплате</t>
  </si>
  <si>
    <t xml:space="preserve">Финальный бонус этапа без учета К перераспред-ия и до вычета авансов</t>
  </si>
  <si>
    <t xml:space="preserve">К  перераспределения бонуса</t>
  </si>
  <si>
    <t xml:space="preserve">Финальный бонус этапа с учетом К перераспред-ия и вычетом авансов, выплаченных по вехам</t>
  </si>
  <si>
    <t xml:space="preserve">Сотрудник 1</t>
  </si>
  <si>
    <t xml:space="preserve">Сотрудник 2</t>
  </si>
  <si>
    <t xml:space="preserve">Сотрудник 3</t>
  </si>
  <si>
    <t xml:space="preserve">Сотрудник 4</t>
  </si>
  <si>
    <t xml:space="preserve">Сотрудник 5</t>
  </si>
  <si>
    <t xml:space="preserve">Сотрудник 6</t>
  </si>
  <si>
    <t xml:space="preserve">Сотрудник 7</t>
  </si>
  <si>
    <t xml:space="preserve">Сотрудник 8</t>
  </si>
  <si>
    <t xml:space="preserve">Сотрудник 9</t>
  </si>
  <si>
    <t xml:space="preserve">Сотрудник 10</t>
  </si>
  <si>
    <t xml:space="preserve">Итого (должно быть = 0)</t>
  </si>
  <si>
    <t xml:space="preserve">Финальный бонус этапа</t>
  </si>
  <si>
    <t xml:space="preserve">Для списка 1</t>
  </si>
  <si>
    <t xml:space="preserve">КУПК (РП/ЗРП)</t>
  </si>
  <si>
    <t xml:space="preserve">КУПК</t>
  </si>
  <si>
    <t xml:space="preserve">МП</t>
  </si>
  <si>
    <t xml:space="preserve">Для списка 2</t>
  </si>
  <si>
    <t xml:space="preserve">Руководитель группы разработки продукта</t>
  </si>
  <si>
    <t xml:space="preserve">Заместитель руководителя проекта</t>
  </si>
  <si>
    <t xml:space="preserve">Менеджер проекта</t>
  </si>
  <si>
    <t xml:space="preserve">Статус</t>
  </si>
  <si>
    <t xml:space="preserve">Наименование</t>
  </si>
  <si>
    <t xml:space="preserve">Шаблон</t>
  </si>
  <si>
    <t xml:space="preserve">Ключевая</t>
  </si>
  <si>
    <t xml:space="preserve">Вид</t>
  </si>
  <si>
    <t xml:space="preserve">Очередь/корпус/строение</t>
  </si>
  <si>
    <t xml:space="preserve">Заказчик</t>
  </si>
  <si>
    <t xml:space="preserve">Исполнитель</t>
  </si>
  <si>
    <t xml:space="preserve">Критерий закрытия</t>
  </si>
  <si>
    <t xml:space="preserve">Фактический срок</t>
  </si>
  <si>
    <t xml:space="preserve">Руководитель проекта</t>
  </si>
  <si>
    <t xml:space="preserve">Отдел Интерьеров</t>
  </si>
  <si>
    <t xml:space="preserve">Отдел разработки продукта </t>
  </si>
  <si>
    <t xml:space="preserve">Отдел управлением проектированием</t>
  </si>
  <si>
    <t xml:space="preserve">Отдел экспертизы АР (ГАП)</t>
  </si>
  <si>
    <t xml:space="preserve">Строительная группа проектов FIT-OUT</t>
  </si>
  <si>
    <t xml:space="preserve">Строительная группа</t>
  </si>
  <si>
    <t xml:space="preserve">Главный специалист ДЭБ</t>
  </si>
  <si>
    <t xml:space="preserve">Назначена</t>
  </si>
  <si>
    <t xml:space="preserve">Завершены работы по НИС</t>
  </si>
  <si>
    <t xml:space="preserve">Основная</t>
  </si>
  <si>
    <t xml:space="preserve">Четвертый этап</t>
  </si>
  <si>
    <t xml:space="preserve">30.12.2025</t>
  </si>
  <si>
    <t xml:space="preserve">Проверить и прикрепить в 1С и SMDocs документы или ссылки на документы, подтверждающие выполнение следующих критериев:
1. Получены справки и/или акты от ресурсоснабжающих организаций необходимые для ЗОС. В объем работ по НИС не входят справки РАСЦО о ЧС, радио, сигнал 01.
2. Сканы документов размещены в SMDocs, файл "заморожен".
Дата закрытия вехи:
Дата, указанная на справке / акте от ресурсоснабжающих организаций.
*берется наиболее поздняя дата.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Справки и/или акты "заморожены" в SMDocs.</t>
  </si>
  <si>
    <t xml:space="preserve">Да</t>
  </si>
  <si>
    <t xml:space="preserve">Проверить и подтвердить выполнение мотивационной вехи</t>
  </si>
  <si>
    <t xml:space="preserve">Завершены работы по устройству кровли строений</t>
  </si>
  <si>
    <t xml:space="preserve">04.03.2026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</si>
  <si>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объемов с отметкой об отсутствии критических замечаний к выполненным работам (РП, Главный инженер строительного контроля, РПС/РС). Выполнен пирог кровли корпусов (секций), включая гидроизоляцию и стяжку, гравий, щебень (если предусмотрены в РД), примыкания к шахтам. В объем работ по кровле не входят: парапетные крышки (фасады), короба вент оборудования (ВИС), лестницы, мостики (общестрой, фасады), покрытие террас собственников.
2. Акт фиксации объёмов с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"заморожен" в SMDocs.</t>
  </si>
  <si>
    <t xml:space="preserve">Завершены работы по фасадам</t>
  </si>
  <si>
    <t xml:space="preserve">26.03.2026</t>
  </si>
  <si>
    <t xml:space="preserve">Проверить и прикрепить в 1С и SMDocs документы или ссылки на документы, подтверждающие выполнение следующих критериев:
1. Подписан комиссионный акт фиксации объёмов с отметкой об отсутствии критических замечаний к выполненным работам (РП, Главный инженер строительного контроля, РПС/РС). Завершены фасады и СПК дома и инфраструктуры, ограждения балконов, террас, крышки парапетов, АХП, СОФ. К акту приложен исполнительный чертёж (исполнительная схема) либо накопительная excel-таблица, отражающая статусы работ («приняты и ранее вошли в КС» и «выполнены и не имеют критических замечаний к качеству») в привязке к локациям (этаж/секция).
2. Акт фиксации объёмов с приложенным исполнительным чертежом (исполнительной схемой), либо накопительной excel-таблицей выложен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объемов с приложенным исполнительным чертежом (исполнительной схемой), либо накопительной excel-таблицей "заморожен" в SMDocs.</t>
  </si>
  <si>
    <t xml:space="preserve">Завершены комплексные пуско-наладочные испытания для ЗОС</t>
  </si>
  <si>
    <t xml:space="preserve">03.04.2026</t>
  </si>
  <si>
    <t xml:space="preserve">Проверить и прикрепить в 1С и SMDocs документы или ссылки на документы, подтверждающие выполнение следующих критериев:
1.Подписан комиссионный акт фиксации выполненных работ для комплексных испытаний (по следующим системам):
- Система вентиляции (общедомовая);
- Противодымная вентиляция;
- Автоматическая пожарная сигнализация;
- Система оповещения и управления эвакуацией;
- Автоматическая установка пожаротушения;
- Внутренний противопожарный водопровод;
- Система дымоудаления;
- Лифты и подъемные платформы.
2. Комиссионный акт фиксации выполненных работ для комплексных испытаний размещен в 1С, в SMDocs, файл "заморожен".
Дата закрытия вехи:
Дата завершения работ, указанная в комиссионном акте фиксации.
Перед закрытием вехи в 1С РП должен проверить:
1. Наличие всех документов/писем (или ссылок на расположение в SMDocs), указанных в критерии, в 1С.
2. Дату выполнения.
3. Комиссионный акт фиксации выполненных работ для комплексных испытаний "заморожен" в SMDocs.</t>
  </si>
  <si>
    <t xml:space="preserve">Получено РнВ</t>
  </si>
  <si>
    <t xml:space="preserve">16.06.2026</t>
  </si>
  <si>
    <t xml:space="preserve">Проверить и прикрепить в 1С и SMDocs документы или ссылки на документы, подтверждающие выполнение следующих критериев:
1. Документ размещен в SMDocs, файл "заморожен".
Дата закрытия вехи:
Дата выполнения вехи = дате документа РнВ.
Перед закрытием вехи в 1С РП должен проверить:
1. Наличие всех документов/писем, указанных в критерии, в 1С.
2. Дату выполнения.
3. РнВ "заморожен" в SMDocs.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</si>
</sst>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#,##0.00"/>
    <numFmt numFmtId="166" formatCode="dd/mm/yy;@"/>
    <numFmt numFmtId="167" formatCode="#,##0"/>
    <numFmt numFmtId="168" formatCode="m/d/yyyy"/>
    <numFmt numFmtId="169" formatCode="0%"/>
    <numFmt numFmtId="170" formatCode="_(\₽* #,##0.00_);_(\₽* \(#,##0.00\);_(\₽* \-??_);_(@_)"/>
    <numFmt numFmtId="171" formatCode="0.0%"/>
    <numFmt numFmtId="172" formatCode="dd\.mm\.yyyy"/>
    <numFmt numFmtId="173" formatCode="0.00"/>
    <numFmt numFmtId="174" formatCode="General"/>
    <numFmt numFmtId="175" formatCode="0"/>
    <numFmt numFmtId="176" formatCode="0.00%"/>
  </numFmts>
  <fonts count="3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8"/>
      <name val="Arial"/>
      <family val="2"/>
      <charset val="1"/>
    </font>
    <font>
      <sz val="10"/>
      <color theme="1"/>
      <name val="Calibri"/>
      <family val="2"/>
      <charset val="1"/>
    </font>
    <font>
      <sz val="12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1"/>
      <color rgb="FF000000"/>
      <name val="Calibri"/>
      <family val="2"/>
      <charset val="1"/>
    </font>
    <font>
      <b val="true"/>
      <sz val="12"/>
      <color rgb="FFFF0000"/>
      <name val="Calibri"/>
      <family val="2"/>
      <charset val="204"/>
    </font>
    <font>
      <b val="true"/>
      <sz val="14"/>
      <color theme="1"/>
      <name val="Calibri"/>
      <family val="2"/>
      <charset val="204"/>
    </font>
    <font>
      <b val="true"/>
      <sz val="14"/>
      <color rgb="FFFF0000"/>
      <name val="Calibri"/>
      <family val="2"/>
      <charset val="204"/>
    </font>
    <font>
      <sz val="10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0"/>
      <name val="Calibri"/>
      <family val="2"/>
      <charset val="1"/>
    </font>
    <font>
      <sz val="10"/>
      <color theme="0" tint="-0.15"/>
      <name val="Calibri"/>
      <family val="2"/>
      <charset val="1"/>
    </font>
    <font>
      <sz val="10"/>
      <color rgb="FF000000"/>
      <name val="Calibri"/>
      <family val="2"/>
      <charset val="1"/>
    </font>
    <font>
      <sz val="10"/>
      <color theme="2" tint="-0.1"/>
      <name val="Calibri"/>
      <family val="2"/>
      <charset val="1"/>
    </font>
    <font>
      <sz val="8"/>
      <color theme="2" tint="-0.1"/>
      <name val="Calibri"/>
      <family val="2"/>
      <charset val="1"/>
    </font>
    <font>
      <b val="true"/>
      <sz val="10"/>
      <color theme="1"/>
      <name val="Calibri"/>
      <family val="2"/>
      <charset val="1"/>
    </font>
    <font>
      <sz val="11"/>
      <color theme="1"/>
      <name val="Calibri"/>
      <family val="2"/>
      <charset val="204"/>
    </font>
    <font>
      <sz val="11"/>
      <name val="Calibri"/>
      <family val="2"/>
      <charset val="1"/>
    </font>
    <font>
      <b val="true"/>
      <sz val="20"/>
      <color rgb="FF0070C0"/>
      <name val="Calibri"/>
      <family val="2"/>
      <charset val="204"/>
    </font>
    <font>
      <sz val="11"/>
      <color theme="0"/>
      <name val="Calibri"/>
      <family val="2"/>
      <charset val="1"/>
    </font>
    <font>
      <sz val="8"/>
      <color rgb="FFFF0000"/>
      <name val="Calibri"/>
      <family val="2"/>
      <charset val="1"/>
    </font>
    <font>
      <b val="true"/>
      <sz val="11"/>
      <color theme="0"/>
      <name val="Calibri"/>
      <family val="2"/>
      <charset val="1"/>
    </font>
    <font>
      <b val="true"/>
      <sz val="11"/>
      <name val="Calibri"/>
      <family val="2"/>
      <charset val="204"/>
    </font>
    <font>
      <sz val="11"/>
      <name val="Calibri"/>
      <family val="2"/>
      <charset val="204"/>
    </font>
    <font>
      <b val="true"/>
      <sz val="16"/>
      <color theme="1"/>
      <name val="Calibri"/>
      <family val="2"/>
      <charset val="204"/>
    </font>
    <font>
      <b val="true"/>
      <sz val="11"/>
      <color rgb="FF000000"/>
      <name val="Calibri"/>
      <family val="2"/>
      <charset val="204"/>
    </font>
    <font>
      <b val="true"/>
      <sz val="8"/>
      <name val="Arial"/>
      <family val="2"/>
      <charset val="204"/>
    </font>
  </fonts>
  <fills count="20">
    <fill>
      <patternFill patternType="none"/>
    </fill>
    <fill>
      <patternFill patternType="gray125"/>
    </fill>
    <fill>
      <patternFill patternType="solid">
        <fgColor theme="2"/>
        <bgColor rgb="FFEDEDED"/>
      </patternFill>
    </fill>
    <fill>
      <patternFill patternType="solid">
        <fgColor theme="7" tint="0.7999"/>
        <bgColor rgb="FFF2F2F2"/>
      </patternFill>
    </fill>
    <fill>
      <patternFill patternType="solid">
        <fgColor rgb="FFD9D9D9"/>
        <bgColor rgb="FFD0CECE"/>
      </patternFill>
    </fill>
    <fill>
      <patternFill patternType="solid">
        <fgColor theme="5" tint="0.5999"/>
        <bgColor rgb="FFFFC7CE"/>
      </patternFill>
    </fill>
    <fill>
      <patternFill patternType="solid">
        <fgColor rgb="FF92D050"/>
        <bgColor rgb="FFA5A5A5"/>
      </patternFill>
    </fill>
    <fill>
      <patternFill patternType="solid">
        <fgColor theme="2" tint="-0.1"/>
        <bgColor rgb="FFD9D9D9"/>
      </patternFill>
    </fill>
    <fill>
      <patternFill patternType="solid">
        <fgColor theme="6"/>
        <bgColor rgb="FF9DC3E6"/>
      </patternFill>
    </fill>
    <fill>
      <patternFill patternType="solid">
        <fgColor theme="4" tint="0.3999"/>
        <bgColor rgb="FFBDD7EE"/>
      </patternFill>
    </fill>
    <fill>
      <patternFill patternType="solid">
        <fgColor theme="4" tint="0.5999"/>
        <bgColor rgb="FFD0CECE"/>
      </patternFill>
    </fill>
    <fill>
      <patternFill patternType="solid">
        <fgColor theme="0" tint="-0.05"/>
        <bgColor rgb="FFEDEDED"/>
      </patternFill>
    </fill>
    <fill>
      <patternFill patternType="solid">
        <fgColor theme="6" tint="0.7999"/>
        <bgColor rgb="FFF2F2F2"/>
      </patternFill>
    </fill>
    <fill>
      <patternFill patternType="solid">
        <fgColor theme="5" tint="0.3999"/>
        <bgColor rgb="FFF8CBAD"/>
      </patternFill>
    </fill>
    <fill>
      <patternFill patternType="solid">
        <fgColor theme="9" tint="0.7999"/>
        <bgColor rgb="FFE2EFDA"/>
      </patternFill>
    </fill>
    <fill>
      <patternFill patternType="solid">
        <fgColor theme="8" tint="-0.25"/>
        <bgColor rgb="FF666699"/>
      </patternFill>
    </fill>
    <fill>
      <patternFill patternType="solid">
        <fgColor rgb="FFE2EFDA"/>
        <bgColor rgb="FFE2F0D9"/>
      </patternFill>
    </fill>
    <fill>
      <patternFill patternType="solid">
        <fgColor rgb="FFFFFF00"/>
        <bgColor rgb="FFFFE699"/>
      </patternFill>
    </fill>
    <fill>
      <patternFill patternType="solid">
        <fgColor theme="7" tint="0.5999"/>
        <bgColor rgb="FFFFF2CC"/>
      </patternFill>
    </fill>
    <fill>
      <patternFill patternType="solid">
        <fgColor theme="9" tint="0.5999"/>
        <bgColor rgb="FFD9D9D9"/>
      </patternFill>
    </fill>
  </fills>
  <borders count="45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medium"/>
      <diagonal/>
    </border>
    <border diagonalUp="false" diagonalDown="false">
      <left style="thin"/>
      <right style="medium"/>
      <top style="medium"/>
      <bottom style="medium"/>
      <diagonal/>
    </border>
    <border diagonalUp="false" diagonalDown="false">
      <left style="thin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/>
      <right style="thin"/>
      <top style="hair"/>
      <bottom style="hair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/>
      <top style="hair"/>
      <bottom/>
      <diagonal/>
    </border>
    <border diagonalUp="false" diagonalDown="false">
      <left style="hair"/>
      <right style="hair"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hair"/>
      <right style="hair"/>
      <top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/>
      <right/>
      <top/>
      <bottom style="hair">
        <color rgb="FF0066CC"/>
      </bottom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70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2" fontId="1" fillId="0" borderId="0" applyFont="true" applyBorder="false" applyAlignment="false" applyProtection="false"/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3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4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70" fontId="5" fillId="0" borderId="0" xfId="1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3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5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7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5" fillId="3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7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4" borderId="8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7" fontId="13" fillId="4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4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5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5" fillId="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4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6" fillId="4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3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2" fillId="4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6" fillId="4" borderId="1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7" fillId="7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6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6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6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6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6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6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8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8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8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8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8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16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5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5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0" borderId="18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1" fontId="14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5" fillId="0" borderId="5" xfId="19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9" borderId="1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9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9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1" fontId="5" fillId="9" borderId="11" xfId="19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7" fontId="5" fillId="9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9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8" fillId="7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7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19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19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16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10" borderId="2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5" fillId="10" borderId="23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5" fillId="1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10" borderId="25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5" fillId="10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1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2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19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21" fillId="0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3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1" fillId="12" borderId="1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27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2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0" borderId="9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4" fontId="21" fillId="0" borderId="3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1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center" vertical="top" textRotation="0" wrapText="false" indent="0" shrinkToFit="false"/>
      <protection locked="true" hidden="false"/>
    </xf>
    <xf numFmtId="164" fontId="21" fillId="0" borderId="32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7" fontId="21" fillId="0" borderId="35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21" fillId="0" borderId="3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8" fontId="21" fillId="12" borderId="6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4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4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4" fontId="25" fillId="15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3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5" fillId="15" borderId="3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21" fillId="15" borderId="3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21" fillId="15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1" fillId="1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12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5" borderId="3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15" borderId="4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6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1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1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6" fillId="12" borderId="2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26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12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1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2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1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16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29" fillId="1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7" fontId="2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9" fillId="0" borderId="2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20" fillId="1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76" fontId="20" fillId="0" borderId="0" xfId="19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9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14" borderId="9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1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0" fillId="14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true" applyBorder="false" applyAlignment="false" applyProtection="true">
      <alignment horizontal="general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7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8" borderId="4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8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8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30" fillId="19" borderId="19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" xfId="20"/>
    <cellStyle name="Финансовый 2" xfId="21"/>
  </cellStyles>
  <dxfs count="10">
    <dxf>
      <font>
        <color rgb="FF9C0006"/>
      </font>
      <fill>
        <patternFill>
          <bgColor rgb="FFFFC7CE"/>
        </patternFill>
      </fill>
    </dxf>
    <dxf>
      <font>
        <color rgb="00FFFFFF"/>
      </font>
      <fill>
        <patternFill>
          <bgColor rgb="FFFFFF00"/>
        </patternFill>
      </fill>
    </dxf>
    <dxf>
      <font>
        <color rgb="00FFFFFF"/>
      </font>
      <fill>
        <patternFill>
          <bgColor rgb="FFC00000"/>
        </patternFill>
      </fill>
    </dxf>
    <dxf>
      <font>
        <color rgb="FFFF0000"/>
      </font>
      <fill>
        <patternFill>
          <bgColor rgb="FFFF0000"/>
        </patternFill>
      </fill>
    </dxf>
    <dxf>
      <font>
        <color rgb="FFFFFFFF"/>
      </font>
      <fill>
        <patternFill>
          <bgColor rgb="FF000000"/>
        </patternFill>
      </fill>
      <border diagonalUp="false" diagonalDown="false">
        <left/>
        <right/>
        <top/>
        <bottom/>
        <diagonal/>
      </border>
    </dxf>
    <dxf>
      <font>
        <color rgb="FF9C0006"/>
      </font>
      <fill>
        <patternFill>
          <bgColor rgb="FFFF7C8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 patternType="solid">
          <fgColor rgb="FFC5E0B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70C0"/>
      <rgbColor rgb="FFD0CECE"/>
      <rgbColor rgb="FF808080"/>
      <rgbColor rgb="FFD9D9D9"/>
      <rgbColor rgb="FF993366"/>
      <rgbColor rgb="FFFFF2CC"/>
      <rgbColor rgb="FFE2EFDA"/>
      <rgbColor rgb="FF660066"/>
      <rgbColor rgb="FFFF7C80"/>
      <rgbColor rgb="FF0066CC"/>
      <rgbColor rgb="FFBDD7EE"/>
      <rgbColor rgb="FF000080"/>
      <rgbColor rgb="FFFF00FF"/>
      <rgbColor rgb="FFE7E6E6"/>
      <rgbColor rgb="FF00FFFF"/>
      <rgbColor rgb="FF800080"/>
      <rgbColor rgb="FFC00000"/>
      <rgbColor rgb="FF008080"/>
      <rgbColor rgb="FF0000FF"/>
      <rgbColor rgb="FF00CCFF"/>
      <rgbColor rgb="FFF2F2F2"/>
      <rgbColor rgb="FFE2F0D9"/>
      <rgbColor rgb="FFFFE699"/>
      <rgbColor rgb="FF9DC3E6"/>
      <rgbColor rgb="FFF4B183"/>
      <rgbColor rgb="FFFFC7CE"/>
      <rgbColor rgb="FFF8CBAD"/>
      <rgbColor rgb="FF3366FF"/>
      <rgbColor rgb="FF33CCCC"/>
      <rgbColor rgb="FF92D050"/>
      <rgbColor rgb="FFC5E0B4"/>
      <rgbColor rgb="FFEDEDED"/>
      <rgbColor rgb="FFFF6600"/>
      <rgbColor rgb="FF666699"/>
      <rgbColor rgb="FFA5A5A5"/>
      <rgbColor rgb="FF003366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79"/>
  <sheetViews>
    <sheetView showFormulas="false" showGridLines="true" showRowColHeaders="true" showZeros="true" rightToLeft="false" tabSelected="true" showOutlineSymbols="true" defaultGridColor="true" view="normal" topLeftCell="F15" colorId="64" zoomScale="85" zoomScaleNormal="85" zoomScalePageLayoutView="100" workbookViewId="0">
      <selection pane="topLeft" activeCell="N16" activeCellId="0" sqref="N16"/>
    </sheetView>
  </sheetViews>
  <sheetFormatPr defaultColWidth="9.1484375" defaultRowHeight="12.75" zeroHeight="false" outlineLevelRow="1" outlineLevelCol="1"/>
  <cols>
    <col collapsed="false" customWidth="true" hidden="false" outlineLevel="0" max="1" min="1" style="1" width="2.15"/>
    <col collapsed="false" customWidth="true" hidden="false" outlineLevel="0" max="2" min="2" style="2" width="3.29"/>
    <col collapsed="false" customWidth="true" hidden="false" outlineLevel="0" max="3" min="3" style="2" width="6"/>
    <col collapsed="false" customWidth="true" hidden="false" outlineLevel="0" max="4" min="4" style="3" width="4.42"/>
    <col collapsed="false" customWidth="true" hidden="false" outlineLevel="0" max="5" min="5" style="2" width="74.15"/>
    <col collapsed="false" customWidth="true" hidden="false" outlineLevel="0" max="6" min="6" style="2" width="12.71"/>
    <col collapsed="false" customWidth="true" hidden="false" outlineLevel="0" max="7" min="7" style="2" width="12.42"/>
    <col collapsed="false" customWidth="true" hidden="false" outlineLevel="0" max="8" min="8" style="2" width="16.14"/>
    <col collapsed="false" customWidth="true" hidden="false" outlineLevel="0" max="9" min="9" style="2" width="16.57"/>
    <col collapsed="false" customWidth="true" hidden="false" outlineLevel="0" max="10" min="10" style="2" width="15.14"/>
    <col collapsed="false" customWidth="true" hidden="false" outlineLevel="1" max="13" min="11" style="4" width="14.71"/>
    <col collapsed="false" customWidth="true" hidden="false" outlineLevel="1" max="14" min="14" style="5" width="14.71"/>
    <col collapsed="false" customWidth="true" hidden="false" outlineLevel="0" max="15" min="15" style="5" width="31.15"/>
    <col collapsed="false" customWidth="true" hidden="false" outlineLevel="1" max="18" min="16" style="4" width="14.29"/>
    <col collapsed="false" customWidth="true" hidden="false" outlineLevel="1" max="19" min="19" style="5" width="14.29"/>
    <col collapsed="false" customWidth="true" hidden="false" outlineLevel="0" max="20" min="20" style="5" width="31.15"/>
    <col collapsed="false" customWidth="false" hidden="false" outlineLevel="0" max="16384" min="21" style="1" width="9.14"/>
  </cols>
  <sheetData>
    <row r="1" customFormat="false" ht="15.75" hidden="false" customHeight="true" outlineLevel="0" collapsed="false">
      <c r="A1" s="6" t="s">
        <v>0</v>
      </c>
      <c r="B1" s="7" t="s">
        <v>1</v>
      </c>
      <c r="C1" s="7"/>
      <c r="D1" s="7"/>
      <c r="E1" s="8" t="s">
        <v>2</v>
      </c>
      <c r="F1" s="9" t="s">
        <v>3</v>
      </c>
      <c r="G1" s="7"/>
      <c r="I1" s="1"/>
      <c r="K1" s="10" t="s">
        <v>4</v>
      </c>
      <c r="L1" s="10"/>
      <c r="M1" s="10"/>
      <c r="N1" s="10"/>
      <c r="O1" s="11" t="s">
        <v>5</v>
      </c>
      <c r="P1" s="10" t="s">
        <v>4</v>
      </c>
      <c r="Q1" s="10"/>
      <c r="R1" s="10"/>
      <c r="S1" s="10"/>
      <c r="T1" s="11"/>
    </row>
    <row r="2" customFormat="false" ht="16.5" hidden="false" customHeight="true" outlineLevel="0" collapsed="false">
      <c r="A2" s="12"/>
      <c r="B2" s="7"/>
      <c r="C2" s="7"/>
      <c r="D2" s="7"/>
      <c r="E2" s="13" t="s">
        <v>6</v>
      </c>
      <c r="F2" s="14"/>
      <c r="G2" s="15"/>
      <c r="H2" s="7"/>
      <c r="I2" s="1"/>
      <c r="K2" s="10"/>
      <c r="L2" s="10"/>
      <c r="M2" s="10"/>
      <c r="N2" s="10"/>
      <c r="O2" s="16" t="s">
        <v>7</v>
      </c>
      <c r="P2" s="10"/>
      <c r="Q2" s="10"/>
      <c r="R2" s="10"/>
      <c r="S2" s="10"/>
      <c r="T2" s="16"/>
    </row>
    <row r="3" s="7" customFormat="true" ht="21.75" hidden="false" customHeight="true" outlineLevel="0" collapsed="false">
      <c r="E3" s="13" t="s">
        <v>8</v>
      </c>
      <c r="F3" s="14" t="s">
        <v>3</v>
      </c>
      <c r="G3" s="17" t="n">
        <v>1</v>
      </c>
      <c r="K3" s="18" t="s">
        <v>9</v>
      </c>
      <c r="L3" s="18"/>
      <c r="M3" s="18"/>
      <c r="N3" s="18"/>
      <c r="O3" s="16" t="s">
        <v>10</v>
      </c>
      <c r="P3" s="18" t="s">
        <v>9</v>
      </c>
      <c r="Q3" s="18"/>
      <c r="R3" s="18"/>
      <c r="S3" s="18"/>
      <c r="T3" s="16"/>
    </row>
    <row r="4" customFormat="false" ht="18.75" hidden="false" customHeight="true" outlineLevel="1" collapsed="false">
      <c r="B4" s="7"/>
      <c r="C4" s="7"/>
      <c r="D4" s="7"/>
      <c r="E4" s="19"/>
      <c r="F4" s="7"/>
      <c r="G4" s="7"/>
      <c r="H4" s="7"/>
      <c r="I4" s="20"/>
      <c r="J4" s="7"/>
      <c r="K4" s="18" t="str">
        <f aca="false">IF(OR(O1="КУПК (РП/ЗРП)",O1="КУПК"),"NPV стартовый","")</f>
        <v/>
      </c>
      <c r="L4" s="18"/>
      <c r="M4" s="18"/>
      <c r="N4" s="18"/>
      <c r="O4" s="21"/>
      <c r="P4" s="18" t="str">
        <f aca="false">IF(OR(T1="КУПК (РП/ЗРП)",T1="КУПК"),"NPV стартовый","")</f>
        <v/>
      </c>
      <c r="Q4" s="18"/>
      <c r="R4" s="18"/>
      <c r="S4" s="18"/>
      <c r="T4" s="22"/>
    </row>
    <row r="5" s="7" customFormat="true" ht="15" hidden="false" customHeight="true" outlineLevel="1" collapsed="false">
      <c r="A5" s="1"/>
      <c r="H5" s="23"/>
      <c r="I5" s="23"/>
      <c r="K5" s="18" t="s">
        <v>11</v>
      </c>
      <c r="L5" s="18"/>
      <c r="M5" s="18"/>
      <c r="N5" s="18"/>
      <c r="O5" s="24" t="n">
        <v>45748</v>
      </c>
      <c r="P5" s="18" t="s">
        <v>11</v>
      </c>
      <c r="Q5" s="18"/>
      <c r="R5" s="18"/>
      <c r="S5" s="18"/>
      <c r="T5" s="24"/>
    </row>
    <row r="6" customFormat="false" ht="15" hidden="false" customHeight="true" outlineLevel="1" collapsed="false">
      <c r="B6" s="25"/>
      <c r="E6" s="26"/>
      <c r="F6" s="7"/>
      <c r="G6" s="7"/>
      <c r="H6" s="7"/>
      <c r="I6" s="7"/>
      <c r="J6" s="7"/>
      <c r="K6" s="18" t="s">
        <v>12</v>
      </c>
      <c r="L6" s="18"/>
      <c r="M6" s="18"/>
      <c r="N6" s="18"/>
      <c r="O6" s="27" t="n">
        <f aca="false">(MAX($G15:$G39,K15:K39))-O$5+1</f>
        <v>548</v>
      </c>
      <c r="P6" s="18" t="s">
        <v>12</v>
      </c>
      <c r="Q6" s="18"/>
      <c r="R6" s="18"/>
      <c r="S6" s="18"/>
      <c r="T6" s="27" t="n">
        <f aca="false">(MAX($G15:$G39,P15:P39))-T$5+1</f>
        <v>46296</v>
      </c>
    </row>
    <row r="7" s="1" customFormat="true" ht="20.25" hidden="false" customHeight="true" outlineLevel="1" collapsed="false">
      <c r="B7" s="7"/>
      <c r="C7" s="25"/>
      <c r="D7" s="28"/>
      <c r="F7" s="7"/>
      <c r="G7" s="7"/>
      <c r="H7" s="7"/>
      <c r="I7" s="15"/>
      <c r="J7" s="7"/>
      <c r="K7" s="18" t="s">
        <v>13</v>
      </c>
      <c r="L7" s="18"/>
      <c r="M7" s="18"/>
      <c r="N7" s="18"/>
      <c r="O7" s="29" t="n">
        <f aca="false">IFERROR(SUM(O$45:O$79),0)</f>
        <v>3603287.67123288</v>
      </c>
      <c r="P7" s="18" t="s">
        <v>13</v>
      </c>
      <c r="Q7" s="18"/>
      <c r="R7" s="18"/>
      <c r="S7" s="18"/>
      <c r="T7" s="29" t="n">
        <f aca="false">IFERROR(SUM(T$45:T$79),0)</f>
        <v>0</v>
      </c>
    </row>
    <row r="8" customFormat="false" ht="15" hidden="false" customHeight="true" outlineLevel="1" collapsed="false">
      <c r="F8" s="7"/>
      <c r="H8" s="20"/>
      <c r="I8" s="20"/>
      <c r="K8" s="18" t="s">
        <v>14</v>
      </c>
      <c r="L8" s="18"/>
      <c r="M8" s="18"/>
      <c r="N8" s="18"/>
      <c r="O8" s="29" t="n">
        <f aca="false">O$7*0.67</f>
        <v>2414202.73972603</v>
      </c>
      <c r="P8" s="18" t="s">
        <v>14</v>
      </c>
      <c r="Q8" s="18"/>
      <c r="R8" s="18"/>
      <c r="S8" s="18"/>
      <c r="T8" s="29" t="n">
        <f aca="false">T$7*0.67</f>
        <v>0</v>
      </c>
    </row>
    <row r="9" customFormat="false" ht="34.5" hidden="false" customHeight="true" outlineLevel="1" collapsed="false">
      <c r="F9" s="15"/>
      <c r="I9" s="20"/>
      <c r="K9" s="18" t="s">
        <v>15</v>
      </c>
      <c r="L9" s="18"/>
      <c r="M9" s="18"/>
      <c r="N9" s="18"/>
      <c r="O9" s="29" t="n">
        <f aca="false">O$7-O$8</f>
        <v>1189084.93150685</v>
      </c>
      <c r="P9" s="18" t="s">
        <v>15</v>
      </c>
      <c r="Q9" s="18"/>
      <c r="R9" s="18"/>
      <c r="S9" s="18"/>
      <c r="T9" s="29" t="n">
        <f aca="false">T$7-T$8</f>
        <v>0</v>
      </c>
    </row>
    <row r="10" customFormat="false" ht="15" hidden="false" customHeight="true" outlineLevel="1" collapsed="false">
      <c r="H10" s="25"/>
      <c r="K10" s="18" t="str">
        <f aca="false">IF(OR(O1="КУПК (РП/ЗРП)",O1="КУПК"),"Коэф.фин.результата этапа","")</f>
        <v/>
      </c>
      <c r="L10" s="18"/>
      <c r="M10" s="18"/>
      <c r="N10" s="18"/>
      <c r="O10" s="30" t="str">
        <f aca="false">IF(O1="КУПК (РП/ЗРП)",MIN(1.5,MAX(0.5,IF(ABS(O11)&lt;500000000,IF(ABS(O11-O4)&gt;50000000,1+0.05/100000000*(O11-O4),1),O11/O4))),IF(O1="КУПК",MIN(1.25,MAX(0.75,IF(ABS(O11)&lt;500000000, IF(ABS(O11-O4)&gt;50000000,1+0.05/100000000*(O11-O4),1),O11/O4))),""))</f>
        <v/>
      </c>
      <c r="P10" s="18" t="str">
        <f aca="false">IF(OR(T1="КУПК (РП/ЗРП)",T1="КУПК"),"Коэф.фин.результата этапа","")</f>
        <v/>
      </c>
      <c r="Q10" s="18"/>
      <c r="R10" s="18"/>
      <c r="S10" s="18"/>
      <c r="T10" s="31" t="str">
        <f aca="false">IF(T1="КУПК (РП/ЗРП)",MIN(1.5,MAX(0.5,IF(ABS(T11)&lt;500000000,IF(ABS(T11-T4)&gt;50000000,1+0.05/100000000*(T11-T4),1),T11/T4))),IF(T1="КУПК",MIN(1.25,MAX(0.75,IF(ABS(T11)&lt;500000000, IF(ABS(T11-T4)&gt;50000000,1+0.05/100000000*(T11-T4),1),T11/T4))),""))</f>
        <v/>
      </c>
      <c r="U10" s="32"/>
    </row>
    <row r="11" customFormat="false" ht="15" hidden="false" customHeight="true" outlineLevel="1" collapsed="false">
      <c r="K11" s="18" t="str">
        <f aca="false">IF(OR(O1="КУПК (РП/ЗРП)",O1="КУПК"),"NPV текущий","")</f>
        <v/>
      </c>
      <c r="L11" s="18"/>
      <c r="M11" s="18"/>
      <c r="N11" s="18"/>
      <c r="O11" s="21"/>
      <c r="P11" s="18" t="str">
        <f aca="false">IF(OR(T1="КУПК (РП/ЗРП)",T1="КУПК"),"NPV текущий","")</f>
        <v/>
      </c>
      <c r="Q11" s="18"/>
      <c r="R11" s="18"/>
      <c r="S11" s="18"/>
      <c r="T11" s="31"/>
      <c r="U11" s="32"/>
    </row>
    <row r="12" customFormat="false" ht="15" hidden="false" customHeight="true" outlineLevel="1" collapsed="false">
      <c r="K12" s="18"/>
      <c r="L12" s="18"/>
      <c r="M12" s="18"/>
      <c r="N12" s="18"/>
      <c r="O12" s="33"/>
      <c r="P12" s="18"/>
      <c r="Q12" s="18"/>
      <c r="R12" s="18"/>
      <c r="S12" s="18"/>
      <c r="T12" s="33"/>
    </row>
    <row r="13" customFormat="false" ht="15" hidden="false" customHeight="true" outlineLevel="1" collapsed="false">
      <c r="K13" s="18" t="str">
        <f aca="false">IF(O12="","","Остаток бонуса на конец этапа")</f>
        <v/>
      </c>
      <c r="L13" s="18"/>
      <c r="M13" s="18"/>
      <c r="N13" s="18"/>
      <c r="O13" s="29" t="str">
        <f aca="false" t="array" ref="O13:O13">IFERROR(IF(O$12="","",IF($H36="","",IF(K36="",_xlfn.IFS(O$1="МП", IF(((O$7*IF(AND(OR(O$1="КУПК",O$1="РУПК"),$F$3="Да"),90%+10%*MAX(0,MIN(1,($G$3-40%)*2)),1))/O$6*(O$12-O$5+IF(K$12="Дата ухода с проекта (этапа)",1,0)))*(1+($I36*1%))*((AVERAGE(O16:O35)-50%)*2)-SUM(N16:N35)&lt;0, 0, ((O$7*IF(AND(OR(O$1="КУПК",O$1="РУПК"),$F$3="Да"),90%+10%*MAX(0,MIN(1,($G$3-40%)*2)),1))/O$6*(O$12-O$5+IF(K$12="Дата ухода с проекта (этапа)",1,0)))*(1+($I36*1%))*((AVERAGE(O16:O35)-50%)*2)-SUM(N16:N35)),O$1="РУПК", IF(((O$7*IF(AND(OR(O$1="КУПК",O$1="РУПК"),$F$3="Да"),90%+10%*MAX(0,MIN(1,($G$3-40%)*2)),1))/O$6*(O$12-O$5+IF(K$12="Дата ухода с проекта (этапа)",1,0)))*(1+($I36*1%))-SUM(N16:N35)&lt;0, 0, ((O$7*IF(AND(OR(O$1="КУПК",O$1="РУПК"),$F$3="Да"),90%+10%*MAX(0,MIN(1,($G$3-40%)*2)),1))/O$6*(O$12-O$5+IF(K$12="Дата ухода с проекта (этапа)",1,0)))*(1+($I36*1%))-SUM(N16:N35)),OR(O$1="КУПК",O$1="КУПК (РП/ЗРП)"), IF(((O$7*IF(AND(OR(O$1="КУПК",O$1="РУПК"),$F$3="Да"),90%+10%*MAX(0,MIN(1,($G$3-40%)*2)),1))/O$6*(O$12-O$5+IF(K$12="Дата ухода с проекта (этапа)",1,0)))*O$10*(1+($I36*1%))-SUM(N16:N35)&lt;0, 0, ((O$7*IF(AND(OR(O$1="КУПК",O$1="РУПК"),$F$3="Да"),90%+10%*MAX(0,MIN(1,($G$3-40%)*2)),1))/O$6*(O$12-O$5+IF(K$12="Дата ухода с проекта (этапа)",1,0)))*O$10*(1+($I36*1%))-SUM(N16:N35))),_xlfn.IFS(O$1="МП", IF(((O$7*IF(AND(OR(O$1="КУПК",O$1="РУПК"),$F$3="Да"),90%+10%*MAX(0,MIN(1,($G$3-40%)*2)),1))/O$6*(O$12-O$5+IF(K$12="Дата ухода с проекта (этапа)",1,0)))*(1+((K36-$H36)*1%))*((AVERAGE(O16:O35)-50%)*2)-SUM(N16:N35)&lt;0, 0, ((O$7*IF(AND(OR(O$1="КУПК",O$1="РУПК"),$F$3="Да"),90%+10%*MAX(0,MIN(1,($G$3-40%)*2)),1))/O$6*(O$12-O$5+IF(K$12="Дата ухода с проекта (этапа)",1,0)))*(1+((K36-$H36)*1%))*((AVERAGE(O16:O35)-50%)*2)-SUM(N16:N35)),O$1="РУПК", IF(((O$7*IF(AND(OR(O$1="КУПК",O$1="РУПК"),$F$3="Да"),90%+10%*MAX(0,MIN(1,($G$3-40%)*2)),1))/O$6*(O$12-O$5+IF(K$12="Дата ухода с проекта (этапа)",1,0)))*(1+((K36-$H36)*1%))-SUM(N16:N35)&lt;0, 0, ((O$7*IF(AND(OR(O$1="КУПК",O$1="РУПК"),$F$3="Да"),90%+10%*MAX(0,MIN(1,($G$3-40%)*2)),1))/O$6*(O$12-O$5+IF(K$12="Дата ухода с проекта (этапа)",1,0)))*(1+((K36-$H36)*1%))-SUM(N16:N35)),OR(O$1="КУПК",O$1="КУПК (РП/ЗРП)"), IF(((O$7*IF(AND(OR(O$1="КУПК",O$1="РУПК"),$F$3="Да"),90%+10%*MAX(0,MIN(1,($G$3-40%)*2)),1))/O$6*(O$12-O$5+IF(K$12="Дата ухода с проекта (этапа)",1,0)))*O$10*(1+((K36-$H36)*1%))-SUM(N16:N35)&lt;0, 0, ((O$7*IF(AND(OR(O$1="КУПК",O$1="РУПК"),$F$3="Да"),90%+10%*MAX(0,MIN(1,($G$3-40%)*2)),1))/O$6*(O$12-O$5+IF(K$12="Дата ухода с проекта (этапа)",1,0)))*O$10*(1+((K36-$H36)*1%))-SUM(N16:N35)))))),"")</f>
        <v/>
      </c>
      <c r="P13" s="18" t="str">
        <f aca="false">IF(T12="","","Остаток бонуса на конец этапа")</f>
        <v/>
      </c>
      <c r="Q13" s="18"/>
      <c r="R13" s="18"/>
      <c r="S13" s="18"/>
      <c r="T13" s="29" t="str">
        <f aca="false" t="array" ref="T13:T13">IFERROR(IF(T$12="","",IF($H36="","",IF(P36="",_xlfn.IFS(T$1="МП", IF(((T$7*IF(AND(OR(T$1="КУПК",T$1="РУПК"),$F$3="Да"),90%+10%*MAX(0,MIN(1,($G$3-40%)*2)),1))/T$6*(T$12-T$5+IF(P$12="Дата ухода с проекта (этапа)",1,0)))*(1+($I36*1%))*((AVERAGE(T16:T35)-50%)*2)-SUM(S16:S35)&lt;0, 0, ((T$7*IF(AND(OR(T$1="КУПК",T$1="РУПК"),$F$3="Да"),90%+10%*MAX(0,MIN(1,($G$3-40%)*2)),1))/T$6*(T$12-T$5+IF(P$12="Дата ухода с проекта (этапа)",1,0)))*(1+($I36*1%))*((AVERAGE(T16:T35)-50%)*2)-SUM(S16:S35)),T$1="РУПК", IF(((T$7*IF(AND(OR(T$1="КУПК",T$1="РУПК"),$F$3="Да"),90%+10%*MAX(0,MIN(1,($G$3-40%)*2)),1))/T$6*(T$12-T$5+IF(P$12="Дата ухода с проекта (этапа)",1,0)))*(1+($I36*1%))-SUM(S16:S35)&lt;0, 0, ((T$7*IF(AND(OR(T$1="КУПК",T$1="РУПК"),$F$3="Да"),90%+10%*MAX(0,MIN(1,($G$3-40%)*2)),1))/T$6*(T$12-T$5+IF(P$12="Дата ухода с проекта (этапа)",1,0)))*(1+($I36*1%))-SUM(S16:S35)),OR(T$1="КУПК",T$1="КУПК (РП/ЗРП)"), IF(((T$7*IF(AND(OR(T$1="КУПК",T$1="РУПК"),$F$3="Да"),90%+10%*MAX(0,MIN(1,($G$3-40%)*2)),1))/T$6*(T$12-T$5+IF(P$12="Дата ухода с проекта (этапа)",1,0)))*T$10*(1+($I36*1%))-SUM(S16:S35)&lt;0, 0, ((T$7*IF(AND(OR(T$1="КУПК",T$1="РУПК"),$F$3="Да"),90%+10%*MAX(0,MIN(1,($G$3-40%)*2)),1))/T$6*(T$12-T$5+IF(P$12="Дата ухода с проекта (этапа)",1,0)))*T$10*(1+($I36*1%))-SUM(S16:S35))),_xlfn.IFS(T$1="МП", IF(((T$7*IF(AND(OR(T$1="КУПК",T$1="РУПК"),$F$3="Да"),90%+10%*MAX(0,MIN(1,($G$3-40%)*2)),1))/T$6*(T$12-T$5+IF(P$12="Дата ухода с проекта (этапа)",1,0)))*(1+((P36-$H36)*1%))*((AVERAGE(T16:T35)-50%)*2)-SUM(S16:S35)&lt;0, 0, ((T$7*IF(AND(OR(T$1="КУПК",T$1="РУПК"),$F$3="Да"),90%+10%*MAX(0,MIN(1,($G$3-40%)*2)),1))/T$6*(T$12-T$5+IF(P$12="Дата ухода с проекта (этапа)",1,0)))*(1+((P36-$H36)*1%))*((AVERAGE(T16:T35)-50%)*2)-SUM(S16:S35)),T$1="РУПК", IF(((T$7*IF(AND(OR(T$1="КУПК",T$1="РУПК"),$F$3="Да"),90%+10%*MAX(0,MIN(1,($G$3-40%)*2)),1))/T$6*(T$12-T$5+IF(P$12="Дата ухода с проекта (этапа)",1,0)))*(1+((P36-$H36)*1%))-SUM(S16:S35)&lt;0, 0, ((T$7*IF(AND(OR(T$1="КУПК",T$1="РУПК"),$F$3="Да"),90%+10%*MAX(0,MIN(1,($G$3-40%)*2)),1))/T$6*(T$12-T$5+IF(P$12="Дата ухода с проекта (этапа)",1,0)))*(1+((P36-$H36)*1%))-SUM(S16:S35)),OR(T$1="КУПК",T$1="КУПК (РП/ЗРП)"), IF(((T$7*IF(AND(OR(T$1="КУПК",T$1="РУПК"),$F$3="Да"),90%+10%*MAX(0,MIN(1,($G$3-40%)*2)),1))/T$6*(T$12-T$5+IF(P$12="Дата ухода с проекта (этапа)",1,0)))*T$10*(1+((P36-$H36)*1%))-SUM(S16:S35)&lt;0, 0, ((T$7*IF(AND(OR(T$1="КУПК",T$1="РУПК"),$F$3="Да"),90%+10%*MAX(0,MIN(1,($G$3-40%)*2)),1))/T$6*(T$12-T$5+IF(P$12="Дата ухода с проекта (этапа)",1,0)))*T$10*(1+((P36-$H36)*1%))-SUM(S16:S35)))))),"")</f>
        <v/>
      </c>
    </row>
    <row r="14" customFormat="false" ht="15" hidden="false" customHeight="true" outlineLevel="1" collapsed="false">
      <c r="G14" s="34"/>
      <c r="H14" s="34"/>
      <c r="K14" s="35" t="s">
        <v>16</v>
      </c>
      <c r="L14" s="35"/>
      <c r="M14" s="35"/>
      <c r="N14" s="35"/>
      <c r="O14" s="36"/>
      <c r="P14" s="35" t="s">
        <v>16</v>
      </c>
      <c r="Q14" s="35"/>
      <c r="R14" s="35"/>
      <c r="S14" s="35"/>
      <c r="T14" s="36"/>
    </row>
    <row r="15" customFormat="false" ht="39" hidden="false" customHeight="true" outlineLevel="0" collapsed="false">
      <c r="A15" s="37"/>
      <c r="B15" s="38"/>
      <c r="C15" s="39" t="s">
        <v>17</v>
      </c>
      <c r="D15" s="40" t="s">
        <v>18</v>
      </c>
      <c r="E15" s="41" t="s">
        <v>19</v>
      </c>
      <c r="F15" s="41" t="s">
        <v>20</v>
      </c>
      <c r="G15" s="41" t="s">
        <v>21</v>
      </c>
      <c r="H15" s="41" t="s">
        <v>22</v>
      </c>
      <c r="I15" s="41" t="s">
        <v>23</v>
      </c>
      <c r="J15" s="42" t="s">
        <v>24</v>
      </c>
      <c r="K15" s="43" t="s">
        <v>25</v>
      </c>
      <c r="L15" s="44"/>
      <c r="M15" s="40" t="s">
        <v>26</v>
      </c>
      <c r="N15" s="40" t="s">
        <v>27</v>
      </c>
      <c r="O15" s="45" t="str">
        <f aca="false">IF(OR(O1="КУПК (РП/ЗРП)",O1="КУПК"),"Комментарий/NPV/KPI","Комментарий")</f>
        <v>Комментарий</v>
      </c>
      <c r="P15" s="43" t="s">
        <v>25</v>
      </c>
      <c r="Q15" s="44"/>
      <c r="R15" s="40" t="s">
        <v>26</v>
      </c>
      <c r="S15" s="40" t="s">
        <v>27</v>
      </c>
      <c r="T15" s="45" t="str">
        <f aca="false">IF(OR(T1="КУПК (РП/ЗРП)",T1="КУПК"),"Комментарий/NPV/KPI","Комментарий")</f>
        <v>Комментарий</v>
      </c>
    </row>
    <row r="16" s="63" customFormat="true" ht="43.5" hidden="false" customHeight="true" outlineLevel="0" collapsed="false">
      <c r="A16" s="46"/>
      <c r="B16" s="46" t="str">
        <f aca="false">CONCATENATE(E16," ",F16)</f>
        <v>Мотивационная веха 1 </v>
      </c>
      <c r="C16" s="47" t="n">
        <v>4</v>
      </c>
      <c r="D16" s="48" t="n">
        <v>1</v>
      </c>
      <c r="E16" s="49" t="s">
        <v>28</v>
      </c>
      <c r="F16" s="50"/>
      <c r="G16" s="51" t="n">
        <v>45838</v>
      </c>
      <c r="H16" s="51" t="n">
        <v>45838</v>
      </c>
      <c r="I16" s="48" t="n">
        <f aca="false">IF(H16="","",G16-H16)</f>
        <v>0</v>
      </c>
      <c r="J16" s="52" t="n">
        <f aca="false">IF(H16="","",DATE(YEAR(H16),ROUNDUP(MONTH(H16)/3,0)*3+2,10))</f>
        <v>45879</v>
      </c>
      <c r="K16" s="53"/>
      <c r="L16" s="54"/>
      <c r="M16" s="55" t="n">
        <f aca="false" t="array" ref="M16:M16">IFERROR(  IF($E16="","",IF(AND($F$1="Да",$F$2=O$5),IF(COUNTIF($E$16:$E$35,"&lt;&gt;")=0,"Веха не участвует в расчете выплат за квартал",1/COUNTIF($E$16:$E$35,"&lt;&gt;")),IF(IF(K16="",$G16,K16)="", "Веха не участвует в расчете выплат за квартал", IF(INT(IF(K16="",$G16,K16))&lt;INT(O$5+60),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6" s="56" t="n">
        <f aca="false">IFERROR(IF($I16&lt;-100,0,IF(IF(AND($F$1="Да",$F$2=O$5),TRUE(),IF(K16="",$G16,K16)&gt;=O$5+60),IF($H16="","",IF(AND(O$1="МП",_xlfn.ISFORMULA(O16)),"Впиши средний KPI за прошлые кварталы",O$8*M16*IF(AND(OR(O$1="КУПК",O$1="РУПК"),$F$3="Да"),90%+10%*MAX(0,MIN(1,($G$3-40%)*2)),1)*MIN((1+IF(K16="",$I16,K16-$H16)*1%)*IF(O$1="РУПК",1,IF(O$1="МП",(O16-50%)*2,O$10)),IF(O$1="РУПК",1.5,IF(O$1="МП",(O16-50%)*2*1.5,IF(K16="",1+0.5*O$10,1.5*O$10)))))),"Веха не участвует в расчете выплат за квартал")),"")</f>
        <v>402367.123287671</v>
      </c>
      <c r="O16" s="57" t="str">
        <f aca="false">IFERROR(IF(ISTEXT(N16),"",IF(AND(OR(O$1="КУПК",O$1="КУПК (РП/ЗРП)"),N16&gt;0),IF($H16="","",CONCATENATE("Расчёт при NPV = ",TEXT(O$11,"# ##0 ₽"),". Коэф. фин. рез. = ",ROUND(O$10,2))),"")),"")</f>
        <v/>
      </c>
      <c r="P16" s="58"/>
      <c r="Q16" s="59"/>
      <c r="R16" s="60" t="n">
        <f aca="false" t="array" ref="R16:R16">IFERROR(  IF($E16="","",IF(AND($F$1="Да",$F$2=T$5),IF(COUNTIF($E$16:$E$35,"&lt;&gt;")=0,"Веха не участвует в расчете выплат за квартал",1/COUNTIF($E$16:$E$35,"&lt;&gt;")),IF(IF(P16="",$G16,P16)="", "Веха не участвует в расчете выплат за квартал", IF(INT(IF(P16="",$G16,P16))&lt;INT(T$5+60),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6" s="61" t="str">
        <f aca="false">IFERROR(IF($I16&lt;-100,0,IF(IF(AND($F$1="Да",$F$2=T$5),TRUE(),IF(P16="",$G16,P16)&gt;=T$5+60),IF($H16="","",IF(AND(T$1="МП",_xlfn.ISFORMULA(T16)),"Впиши средний KPI за прошлые кварталы",T$8*R16*IF(AND(OR(T$1="КУПК",T$1="РУПК"),$F$3="Да"),90%+10%*MAX(0,MIN(1,($G$3-40%)*2)),1)*MIN((1+IF(P16="",$I16,P16-$H16)*1%)*IF(T$1="РУПК",1,IF(T$1="МП",(T16-50%)*2,T$10)),IF(T$1="РУПК",1.5,IF(T$1="МП",(T16-50%)*2*1.5,IF(P16="",1+0.5*T$10,1.5*T$10)))))),"Веха не участвует в расчете выплат за квартал")),"")</f>
        <v/>
      </c>
      <c r="T16" s="62" t="str">
        <f aca="false">IFERROR(IF(ISTEXT(S16),"",IF(AND(OR(T$1="КУПК",T$1="КУПК (РП/ЗРП)"),S16&gt;0),IF($H16="","",CONCATENATE("Расчёт при NPV = ",TEXT(T$11,"# ##0 ₽"),". Коэф. фин. рез. = ",ROUND(T$10,2))),"")),"")</f>
        <v/>
      </c>
    </row>
    <row r="17" s="63" customFormat="true" ht="43.5" hidden="false" customHeight="true" outlineLevel="0" collapsed="false">
      <c r="A17" s="46"/>
      <c r="B17" s="46" t="str">
        <f aca="false">CONCATENATE(E17," ",F17)</f>
        <v>Мотивационная веха 2 </v>
      </c>
      <c r="C17" s="47" t="n">
        <v>4</v>
      </c>
      <c r="D17" s="48" t="n">
        <v>2</v>
      </c>
      <c r="E17" s="49" t="s">
        <v>29</v>
      </c>
      <c r="F17" s="50"/>
      <c r="G17" s="51" t="n">
        <v>45930</v>
      </c>
      <c r="H17" s="51" t="n">
        <v>45930</v>
      </c>
      <c r="I17" s="48" t="n">
        <f aca="false">IF(H17="","",G17-H17)</f>
        <v>0</v>
      </c>
      <c r="J17" s="52" t="n">
        <f aca="false">IF(H17="","",DATE(YEAR(H17),ROUNDUP(MONTH(H17)/3,0)*3+2,10))</f>
        <v>45971</v>
      </c>
      <c r="K17" s="53"/>
      <c r="L17" s="54"/>
      <c r="M17" s="55" t="n">
        <f aca="false" t="array" ref="M17:M17">IFERROR(  IF($E17="","",IF(AND($F$1="Да",$F$2=O$5),IF(COUNTIF($E$16:$E$35,"&lt;&gt;")=0,"Веха не участвует в расчете выплат за квартал",1/COUNTIF($E$16:$E$35,"&lt;&gt;")),IF(IF(K17="",$G17,K17)="", "Веха не участвует в расчете выплат за квартал", IF(INT(IF(K17="",$G17,K17))&lt;INT(O$5+60),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7" s="56" t="n">
        <f aca="false">IFERROR(IF($I17&lt;-100,0,IF(IF(AND($F$1="Да",$F$2=O$5),TRUE(),IF(K17="",$G17,K17)&gt;=O$5+60),IF($H17="","",IF(AND(O$1="МП",_xlfn.ISFORMULA(O17)),"Впиши средний KPI за прошлые кварталы",O$8*M17*IF(AND(OR(O$1="КУПК",O$1="РУПК"),$F$3="Да"),90%+10%*MAX(0,MIN(1,($G$3-40%)*2)),1)*MIN((1+IF(K17="",$I17,K17-$H17)*1%)*IF(O$1="РУПК",1,IF(O$1="МП",(O17-50%)*2,O$10)),IF(O$1="РУПК",1.5,IF(O$1="МП",(O17-50%)*2*1.5,IF(K17="",1+0.5*O$10,1.5*O$10)))))),"Веха не участвует в расчете выплат за квартал")),"")</f>
        <v>402367.123287671</v>
      </c>
      <c r="O17" s="57" t="str">
        <f aca="false">IFERROR(IF(ISTEXT(N17),"",IF(AND(OR(O$1="КУПК",O$1="КУПК (РП/ЗРП)"),N17&gt;0),IF($H17="","",CONCATENATE("Расчёт при NPV = ",TEXT(O$11,"# ##0 ₽"),". Коэф. фин. рез. = ",ROUND(O$10,2))),"")),"")</f>
        <v/>
      </c>
      <c r="P17" s="53"/>
      <c r="Q17" s="54"/>
      <c r="R17" s="55" t="n">
        <f aca="false" t="array" ref="R17:R17">IFERROR(  IF($E17="","",IF(AND($F$1="Да",$F$2=T$5),IF(COUNTIF($E$16:$E$35,"&lt;&gt;")=0,"Веха не участвует в расчете выплат за квартал",1/COUNTIF($E$16:$E$35,"&lt;&gt;")),IF(IF(P17="",$G17,P17)="", "Веха не участвует в расчете выплат за квартал", IF(INT(IF(P17="",$G17,P17))&lt;INT(T$5+60),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7" s="56" t="str">
        <f aca="false">IFERROR(IF($I17&lt;-100,0,IF(IF(AND($F$1="Да",$F$2=T$5),TRUE(),IF(P17="",$G17,P17)&gt;=T$5+60),IF($H17="","",IF(AND(T$1="МП",_xlfn.ISFORMULA(T17)),"Впиши средний KPI за прошлые кварталы",T$8*R17*IF(AND(OR(T$1="КУПК",T$1="РУПК"),$F$3="Да"),90%+10%*MAX(0,MIN(1,($G$3-40%)*2)),1)*MIN((1+IF(P17="",$I17,P17-$H17)*1%)*IF(T$1="РУПК",1,IF(T$1="МП",(T17-50%)*2,T$10)),IF(T$1="РУПК",1.5,IF(T$1="МП",(T17-50%)*2*1.5,IF(P17="",1+0.5*T$10,1.5*T$10)))))),"Веха не участвует в расчете выплат за квартал")),"")</f>
        <v/>
      </c>
      <c r="T17" s="57" t="str">
        <f aca="false">IFERROR(IF(ISTEXT(S17),"",IF(AND(OR(T$1="КУПК",T$1="КУПК (РП/ЗРП)"),S17&gt;0),IF($H17="","",CONCATENATE("Расчёт при NPV = ",TEXT(T$11,"# ##0 ₽"),". Коэф. фин. рез. = ",ROUND(T$10,2))),"")),"")</f>
        <v/>
      </c>
    </row>
    <row r="18" s="63" customFormat="true" ht="43.5" hidden="false" customHeight="true" outlineLevel="0" collapsed="false">
      <c r="A18" s="46"/>
      <c r="B18" s="46" t="str">
        <f aca="false">CONCATENATE(E18," ",F18)</f>
        <v>Мотивационная веха 3 </v>
      </c>
      <c r="C18" s="64" t="n">
        <v>4</v>
      </c>
      <c r="D18" s="65" t="n">
        <f aca="false">D17+1</f>
        <v>3</v>
      </c>
      <c r="E18" s="66" t="s">
        <v>30</v>
      </c>
      <c r="F18" s="67"/>
      <c r="G18" s="68" t="n">
        <v>46006</v>
      </c>
      <c r="H18" s="68" t="n">
        <v>46006</v>
      </c>
      <c r="I18" s="65" t="n">
        <f aca="false">IF(H18="","",G18-H18)</f>
        <v>0</v>
      </c>
      <c r="J18" s="69" t="n">
        <f aca="false">IF(H18="","",DATE(YEAR(H18),ROUNDUP(MONTH(H18)/3,0)*3+2,10))</f>
        <v>46063</v>
      </c>
      <c r="K18" s="70"/>
      <c r="L18" s="71"/>
      <c r="M18" s="72" t="n">
        <f aca="false" t="array" ref="M18:M18">IFERROR(  IF($E18="","",IF(AND($F$1="Да",$F$2=O$5),IF(COUNTIF($E$16:$E$35,"&lt;&gt;")=0,"Веха не участвует в расчете выплат за квартал",1/COUNTIF($E$16:$E$35,"&lt;&gt;")),IF(IF(K18="",$G18,K18)="", "Веха не участвует в расчете выплат за квартал", IF(INT(IF(K18="",$G18,K18))&lt;INT(O$5+60),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8" s="73" t="n">
        <f aca="false">IFERROR(IF($I18&lt;-100,0,IF(IF(AND($F$1="Да",$F$2=O$5),TRUE(),IF(K18="",$G18,K18)&gt;=O$5+60),IF($H18="","",IF(AND(O$1="МП",_xlfn.ISFORMULA(O18)),"Впиши средний KPI за прошлые кварталы",O$8*M18*IF(AND(OR(O$1="КУПК",O$1="РУПК"),$F$3="Да"),90%+10%*MAX(0,MIN(1,($G$3-40%)*2)),1)*MIN((1+IF(K18="",$I18,K18-$H18)*1%)*IF(O$1="РУПК",1,IF(O$1="МП",(O18-50%)*2,O$10)),IF(O$1="РУПК",1.5,IF(O$1="МП",(O18-50%)*2*1.5,IF(K18="",1+0.5*O$10,1.5*O$10)))))),"Веха не участвует в расчете выплат за квартал")),"")</f>
        <v>402367.123287671</v>
      </c>
      <c r="O18" s="74" t="str">
        <f aca="false">IFERROR(IF(ISTEXT(N18),"",IF(AND(OR(O$1="КУПК",O$1="КУПК (РП/ЗРП)"),N18&gt;0),IF($H18="","",CONCATENATE("Расчёт при NPV = ",TEXT(O$11,"# ##0 ₽"),". Коэф. фин. рез. = ",ROUND(O$10,2))),"")),"")</f>
        <v/>
      </c>
      <c r="P18" s="70"/>
      <c r="Q18" s="71"/>
      <c r="R18" s="72" t="n">
        <f aca="false" t="array" ref="R18:R18">IFERROR(  IF($E18="","",IF(AND($F$1="Да",$F$2=T$5),IF(COUNTIF($E$16:$E$35,"&lt;&gt;")=0,"Веха не участвует в расчете выплат за квартал",1/COUNTIF($E$16:$E$35,"&lt;&gt;")),IF(IF(P18="",$G18,P18)="", "Веха не участвует в расчете выплат за квартал", IF(INT(IF(P18="",$G18,P18))&lt;INT(T$5+60),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8" s="73" t="str">
        <f aca="false">IFERROR(IF($I18&lt;-100,0,IF(IF(AND($F$1="Да",$F$2=T$5),TRUE(),IF(P18="",$G18,P18)&gt;=T$5+60),IF($H18="","",IF(AND(T$1="МП",_xlfn.ISFORMULA(T18)),"Впиши средний KPI за прошлые кварталы",T$8*R18*IF(AND(OR(T$1="КУПК",T$1="РУПК"),$F$3="Да"),90%+10%*MAX(0,MIN(1,($G$3-40%)*2)),1)*MIN((1+IF(P18="",$I18,P18-$H18)*1%)*IF(T$1="РУПК",1,IF(T$1="МП",(T18-50%)*2,T$10)),IF(T$1="РУПК",1.5,IF(T$1="МП",(T18-50%)*2*1.5,IF(P18="",1+0.5*T$10,1.5*T$10)))))),"Веха не участвует в расчете выплат за квартал")),"")</f>
        <v/>
      </c>
      <c r="T18" s="74" t="str">
        <f aca="false">IFERROR(IF(ISTEXT(S18),"",IF(AND(OR(T$1="КУПК",T$1="КУПК (РП/ЗРП)"),S18&gt;0),IF($H18="","",CONCATENATE("Расчёт при NPV = ",TEXT(T$11,"# ##0 ₽"),". Коэф. фин. рез. = ",ROUND(T$10,2))),"")),"")</f>
        <v/>
      </c>
    </row>
    <row r="19" s="63" customFormat="true" ht="43.5" hidden="false" customHeight="true" outlineLevel="0" collapsed="false">
      <c r="A19" s="46"/>
      <c r="B19" s="46" t="str">
        <f aca="false">CONCATENATE(E19," ",F19)</f>
        <v>Мотивационная веха 4 </v>
      </c>
      <c r="C19" s="64" t="n">
        <v>4</v>
      </c>
      <c r="D19" s="65" t="n">
        <f aca="false">D18+1</f>
        <v>4</v>
      </c>
      <c r="E19" s="66" t="s">
        <v>31</v>
      </c>
      <c r="F19" s="67"/>
      <c r="G19" s="68" t="n">
        <v>46112</v>
      </c>
      <c r="H19" s="68" t="n">
        <v>46112</v>
      </c>
      <c r="I19" s="65" t="n">
        <f aca="false">IF(H19="","",G19-H19)</f>
        <v>0</v>
      </c>
      <c r="J19" s="69" t="n">
        <f aca="false">IF(H19="","",DATE(YEAR(H19),ROUNDUP(MONTH(H19)/3,0)*3+2,10))</f>
        <v>46152</v>
      </c>
      <c r="K19" s="70"/>
      <c r="L19" s="71"/>
      <c r="M19" s="72" t="n">
        <f aca="false" t="array" ref="M19:M19">IFERROR(  IF($E19="","",IF(AND($F$1="Да",$F$2=O$5),IF(COUNTIF($E$16:$E$35,"&lt;&gt;")=0,"Веха не участвует в расчете выплат за квартал",1/COUNTIF($E$16:$E$35,"&lt;&gt;")),IF(IF(K19="",$G19,K19)="", "Веха не участвует в расчете выплат за квартал", IF(INT(IF(K19="",$G19,K19))&lt;INT(O$5+60),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19" s="73" t="n">
        <f aca="false">IFERROR(IF($I19&lt;-100,0,IF(IF(AND($F$1="Да",$F$2=O$5),TRUE(),IF(K19="",$G19,K19)&gt;=O$5+60),IF($H19="","",IF(AND(O$1="МП",_xlfn.ISFORMULA(O19)),"Впиши средний KPI за прошлые кварталы",O$8*M19*IF(AND(OR(O$1="КУПК",O$1="РУПК"),$F$3="Да"),90%+10%*MAX(0,MIN(1,($G$3-40%)*2)),1)*MIN((1+IF(K19="",$I19,K19-$H19)*1%)*IF(O$1="РУПК",1,IF(O$1="МП",(O19-50%)*2,O$10)),IF(O$1="РУПК",1.5,IF(O$1="МП",(O19-50%)*2*1.5,IF(K19="",1+0.5*O$10,1.5*O$10)))))),"Веха не участвует в расчете выплат за квартал")),"")</f>
        <v>402367.123287671</v>
      </c>
      <c r="O19" s="74" t="str">
        <f aca="false">IFERROR(IF(ISTEXT(N19),"",IF(AND(OR(O$1="КУПК",O$1="КУПК (РП/ЗРП)"),N19&gt;0),IF($H19="","",CONCATENATE("Расчёт при NPV = ",TEXT(O$11,"# ##0 ₽"),". Коэф. фин. рез. = ",ROUND(O$10,2))),"")),"")</f>
        <v/>
      </c>
      <c r="P19" s="70"/>
      <c r="Q19" s="71"/>
      <c r="R19" s="72" t="n">
        <f aca="false" t="array" ref="R19:R19">IFERROR(  IF($E19="","",IF(AND($F$1="Да",$F$2=T$5),IF(COUNTIF($E$16:$E$35,"&lt;&gt;")=0,"Веха не участвует в расчете выплат за квартал",1/COUNTIF($E$16:$E$35,"&lt;&gt;")),IF(IF(P19="",$G19,P19)="", "Веха не участвует в расчете выплат за квартал", IF(INT(IF(P19="",$G19,P19))&lt;INT(T$5+60),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19" s="73" t="str">
        <f aca="false">IFERROR(IF($I19&lt;-100,0,IF(IF(AND($F$1="Да",$F$2=T$5),TRUE(),IF(P19="",$G19,P19)&gt;=T$5+60),IF($H19="","",IF(AND(T$1="МП",_xlfn.ISFORMULA(T19)),"Впиши средний KPI за прошлые кварталы",T$8*R19*IF(AND(OR(T$1="КУПК",T$1="РУПК"),$F$3="Да"),90%+10%*MAX(0,MIN(1,($G$3-40%)*2)),1)*MIN((1+IF(P19="",$I19,P19-$H19)*1%)*IF(T$1="РУПК",1,IF(T$1="МП",(T19-50%)*2,T$10)),IF(T$1="РУПК",1.5,IF(T$1="МП",(T19-50%)*2*1.5,IF(P19="",1+0.5*T$10,1.5*T$10)))))),"Веха не участвует в расчете выплат за квартал")),"")</f>
        <v/>
      </c>
      <c r="T19" s="74" t="str">
        <f aca="false">IFERROR(IF(ISTEXT(S19),"",IF(AND(OR(T$1="КУПК",T$1="КУПК (РП/ЗРП)"),S19&gt;0),IF($H19="","",CONCATENATE("Расчёт при NPV = ",TEXT(T$11,"# ##0 ₽"),". Коэф. фин. рез. = ",ROUND(T$10,2))),"")),"")</f>
        <v/>
      </c>
    </row>
    <row r="20" s="63" customFormat="true" ht="43.5" hidden="true" customHeight="true" outlineLevel="0" collapsed="false">
      <c r="A20" s="46"/>
      <c r="B20" s="46" t="str">
        <f aca="false">CONCATENATE(E20," ",F20)</f>
        <v>Мотивационная веха 5 </v>
      </c>
      <c r="C20" s="64" t="n">
        <v>4</v>
      </c>
      <c r="D20" s="65" t="n">
        <f aca="false">D19+1</f>
        <v>5</v>
      </c>
      <c r="E20" s="66" t="s">
        <v>32</v>
      </c>
      <c r="F20" s="67"/>
      <c r="G20" s="68" t="n">
        <v>46171</v>
      </c>
      <c r="H20" s="68" t="n">
        <v>46171</v>
      </c>
      <c r="I20" s="65" t="n">
        <f aca="false">IF(H20="","",G20-H20)</f>
        <v>0</v>
      </c>
      <c r="J20" s="69" t="n">
        <f aca="false">IF(H20="","",DATE(YEAR(H20),ROUNDUP(MONTH(H20)/3,0)*3+2,10))</f>
        <v>46244</v>
      </c>
      <c r="K20" s="70"/>
      <c r="L20" s="71"/>
      <c r="M20" s="72" t="n">
        <f aca="false" t="array" ref="M20:M20">IFERROR(  IF($E20="","",IF(AND($F$1="Да",$F$2=O$5),IF(COUNTIF($E$16:$E$35,"&lt;&gt;")=0,"Веха не участвует в расчете выплат за квартал",1/COUNTIF($E$16:$E$35,"&lt;&gt;")),IF(IF(K20="",$G20,K20)="", "Веха не участвует в расчете выплат за квартал", IF(INT(IF(K20="",$G20,K20))&lt;INT(O$5+60),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0" s="73" t="n">
        <f aca="false">IFERROR(IF($I20&lt;-100,0,IF(IF(AND($F$1="Да",$F$2=O$5),TRUE(),IF(K20="",$G20,K20)&gt;=O$5+60),IF($H20="","",IF(AND(O$1="МП",_xlfn.ISFORMULA(O20)),"Впиши средний KPI за прошлые кварталы",O$8*M20*IF(AND(OR(O$1="КУПК",O$1="РУПК"),$F$3="Да"),90%+10%*MAX(0,MIN(1,($G$3-40%)*2)),1)*MIN((1+IF(K20="",$I20,K20-$H20)*1%)*IF(O$1="РУПК",1,IF(O$1="МП",(O20-50%)*2,O$10)),IF(O$1="РУПК",1.5,IF(O$1="МП",(O20-50%)*2*1.5,IF(K20="",1+0.5*O$10,1.5*O$10)))))),"Веха не участвует в расчете выплат за квартал")),"")</f>
        <v>402367.123287671</v>
      </c>
      <c r="O20" s="74" t="str">
        <f aca="false">IFERROR(IF(ISTEXT(N20),"",IF(AND(OR(O$1="КУПК",O$1="КУПК (РП/ЗРП)"),N20&gt;0),IF($H20="","",CONCATENATE("Расчёт при NPV = ",TEXT(O$11,"# ##0 ₽"),". Коэф. фин. рез. = ",ROUND(O$10,2))),"")),"")</f>
        <v/>
      </c>
      <c r="P20" s="70"/>
      <c r="Q20" s="71"/>
      <c r="R20" s="72" t="n">
        <f aca="false" t="array" ref="R20:R20">IFERROR(  IF($E20="","",IF(AND($F$1="Да",$F$2=T$5),IF(COUNTIF($E$16:$E$35,"&lt;&gt;")=0,"Веха не участвует в расчете выплат за квартал",1/COUNTIF($E$16:$E$35,"&lt;&gt;")),IF(IF(P20="",$G20,P20)="", "Веха не участвует в расчете выплат за квартал", IF(INT(IF(P20="",$G20,P20))&lt;INT(T$5+60),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0" s="73" t="str">
        <f aca="false">IFERROR(IF($I20&lt;-100,0,IF(IF(AND($F$1="Да",$F$2=T$5),TRUE(),IF(P20="",$G20,P20)&gt;=T$5+60),IF($H20="","",IF(AND(T$1="МП",_xlfn.ISFORMULA(T20)),"Впиши средний KPI за прошлые кварталы",T$8*R20*IF(AND(OR(T$1="КУПК",T$1="РУПК"),$F$3="Да"),90%+10%*MAX(0,MIN(1,($G$3-40%)*2)),1)*MIN((1+IF(P20="",$I20,P20-$H20)*1%)*IF(T$1="РУПК",1,IF(T$1="МП",(T20-50%)*2,T$10)),IF(T$1="РУПК",1.5,IF(T$1="МП",(T20-50%)*2*1.5,IF(P20="",1+0.5*T$10,1.5*T$10)))))),"Веха не участвует в расчете выплат за квартал")),"")</f>
        <v/>
      </c>
      <c r="T20" s="74" t="str">
        <f aca="false">IFERROR(IF(ISTEXT(S20),"",IF(AND(OR(T$1="КУПК",T$1="КУПК (РП/ЗРП)"),S20&gt;0),IF($H20="","",CONCATENATE("Расчёт при NPV = ",TEXT(T$11,"# ##0 ₽"),". Коэф. фин. рез. = ",ROUND(T$10,2))),"")),"")</f>
        <v/>
      </c>
    </row>
    <row r="21" s="63" customFormat="true" ht="43.5" hidden="true" customHeight="true" outlineLevel="0" collapsed="false">
      <c r="A21" s="46"/>
      <c r="B21" s="46" t="str">
        <f aca="false">CONCATENATE(E21," ",F21)</f>
        <v>Мотивационная веха 6 </v>
      </c>
      <c r="C21" s="64" t="n">
        <v>4</v>
      </c>
      <c r="D21" s="65" t="n">
        <f aca="false">D20+1</f>
        <v>6</v>
      </c>
      <c r="E21" s="66" t="s">
        <v>33</v>
      </c>
      <c r="F21" s="67"/>
      <c r="G21" s="68" t="n">
        <v>46234</v>
      </c>
      <c r="H21" s="68" t="n">
        <v>46234</v>
      </c>
      <c r="I21" s="65" t="n">
        <f aca="false">IF(H21="","",G21-H21)</f>
        <v>0</v>
      </c>
      <c r="J21" s="69" t="n">
        <f aca="false">IF(H21="","",DATE(YEAR(H21),ROUNDUP(MONTH(H21)/3,0)*3+2,10))</f>
        <v>46336</v>
      </c>
      <c r="K21" s="70"/>
      <c r="L21" s="71"/>
      <c r="M21" s="72" t="n">
        <f aca="false" t="array" ref="M21:M21">IFERROR(  IF($E21="","",IF(AND($F$1="Да",$F$2=O$5),IF(COUNTIF($E$16:$E$35,"&lt;&gt;")=0,"Веха не участвует в расчете выплат за квартал",1/COUNTIF($E$16:$E$35,"&lt;&gt;")),IF(IF(K21="",$G21,K21)="", "Веха не участвует в расчете выплат за квартал", IF(INT(IF(K21="",$G21,K21))&lt;INT(O$5+60),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>0.166666666666667</v>
      </c>
      <c r="N21" s="73" t="n">
        <f aca="false">IFERROR(IF($I21&lt;-100,0,IF(IF(AND($F$1="Да",$F$2=O$5),TRUE(),IF(K21="",$G21,K21)&gt;=O$5+60),IF($H21="","",IF(AND(O$1="МП",_xlfn.ISFORMULA(O21)),"Впиши средний KPI за прошлые кварталы",O$8*M21*IF(AND(OR(O$1="КУПК",O$1="РУПК"),$F$3="Да"),90%+10%*MAX(0,MIN(1,($G$3-40%)*2)),1)*MIN((1+IF(K21="",$I21,K21-$H21)*1%)*IF(O$1="РУПК",1,IF(O$1="МП",(O21-50%)*2,O$10)),IF(O$1="РУПК",1.5,IF(O$1="МП",(O21-50%)*2*1.5,IF(K21="",1+0.5*O$10,1.5*O$10)))))),"Веха не участвует в расчете выплат за квартал")),"")</f>
        <v>402367.123287671</v>
      </c>
      <c r="O21" s="74" t="str">
        <f aca="false">IFERROR(IF(ISTEXT(N21),"",IF(AND(OR(O$1="КУПК",O$1="КУПК (РП/ЗРП)"),N21&gt;0),IF($H21="","",CONCATENATE("Расчёт при NPV = ",TEXT(O$11,"# ##0 ₽"),". Коэф. фин. рез. = ",ROUND(O$10,2))),"")),"")</f>
        <v/>
      </c>
      <c r="P21" s="70"/>
      <c r="Q21" s="71"/>
      <c r="R21" s="72" t="n">
        <f aca="false" t="array" ref="R21:R21">IFERROR(  IF($E21="","",IF(AND($F$1="Да",$F$2=T$5),IF(COUNTIF($E$16:$E$35,"&lt;&gt;")=0,"Веха не участвует в расчете выплат за квартал",1/COUNTIF($E$16:$E$35,"&lt;&gt;")),IF(IF(P21="",$G21,P21)="", "Веха не участвует в расчете выплат за квартал", IF(INT(IF(P21="",$G21,P21))&lt;INT(T$5+60),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>0.166666666666667</v>
      </c>
      <c r="S21" s="73" t="str">
        <f aca="false">IFERROR(IF($I21&lt;-100,0,IF(IF(AND($F$1="Да",$F$2=T$5),TRUE(),IF(P21="",$G21,P21)&gt;=T$5+60),IF($H21="","",IF(AND(T$1="МП",_xlfn.ISFORMULA(T21)),"Впиши средний KPI за прошлые кварталы",T$8*R21*IF(AND(OR(T$1="КУПК",T$1="РУПК"),$F$3="Да"),90%+10%*MAX(0,MIN(1,($G$3-40%)*2)),1)*MIN((1+IF(P21="",$I21,P21-$H21)*1%)*IF(T$1="РУПК",1,IF(T$1="МП",(T21-50%)*2,T$10)),IF(T$1="РУПК",1.5,IF(T$1="МП",(T21-50%)*2*1.5,IF(P21="",1+0.5*T$10,1.5*T$10)))))),"Веха не участвует в расчете выплат за квартал")),"")</f>
        <v/>
      </c>
      <c r="T21" s="74" t="str">
        <f aca="false">IFERROR(IF(ISTEXT(S21),"",IF(AND(OR(T$1="КУПК",T$1="КУПК (РП/ЗРП)"),S21&gt;0),IF($H21="","",CONCATENATE("Расчёт при NPV = ",TEXT(T$11,"# ##0 ₽"),". Коэф. фин. рез. = ",ROUND(T$10,2))),"")),"")</f>
        <v/>
      </c>
    </row>
    <row r="22" s="63" customFormat="true" ht="43.5" hidden="true" customHeight="true" outlineLevel="0" collapsed="false">
      <c r="A22" s="46"/>
      <c r="B22" s="46" t="str">
        <f aca="false">CONCATENATE(E22," ",F22)</f>
        <v> </v>
      </c>
      <c r="C22" s="64" t="n">
        <v>4</v>
      </c>
      <c r="D22" s="65" t="n">
        <f aca="false">D21+1</f>
        <v>7</v>
      </c>
      <c r="E22" s="66"/>
      <c r="F22" s="67"/>
      <c r="G22" s="68"/>
      <c r="H22" s="68"/>
      <c r="I22" s="65" t="str">
        <f aca="false">IF(H22="","",G22-H22)</f>
        <v/>
      </c>
      <c r="J22" s="69" t="str">
        <f aca="false">IF(H22="","",DATE(YEAR(H22),ROUNDUP(MONTH(H22)/3,0)*3+2,10))</f>
        <v/>
      </c>
      <c r="K22" s="70"/>
      <c r="L22" s="71"/>
      <c r="M22" s="72" t="str">
        <f aca="false" t="array" ref="M22:M22">IFERROR(  IF($E22="","",IF(AND($F$1="Да",$F$2=O$5),IF(COUNTIF($E$16:$E$35,"&lt;&gt;")=0,"Веха не участвует в расчете выплат за квартал",1/COUNTIF($E$16:$E$35,"&lt;&gt;")),IF(IF(K22="",$G22,K22)="", "Веха не участвует в расчете выплат за квартал", IF(INT(IF(K22="",$G22,K22))&lt;INT(O$5+60),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2" s="73" t="str">
        <f aca="false">IFERROR(IF($I22&lt;-100,0,IF(IF(AND($F$1="Да",$F$2=O$5),TRUE(),IF(K22="",$G22,K22)&gt;=O$5+60),IF($H22="","",IF(AND(O$1="МП",_xlfn.ISFORMULA(O22)),"Впиши средний KPI за прошлые кварталы",O$8*M22*IF(AND(OR(O$1="КУПК",O$1="РУПК"),$F$3="Да"),90%+10%*MAX(0,MIN(1,($G$3-40%)*2)),1)*MIN((1+IF(K22="",$I22,K22-$H22)*1%)*IF(O$1="РУПК",1,IF(O$1="МП",(O22-50%)*2,O$10)),IF(O$1="РУПК",1.5,IF(O$1="МП",(O22-50%)*2*1.5,IF(K22="",1+0.5*O$10,1.5*O$10)))))),"Веха не участвует в расчете выплат за квартал")),"")</f>
        <v>Веха не участвует в расчете выплат за квартал</v>
      </c>
      <c r="O22" s="74" t="str">
        <f aca="false">IFERROR(IF(ISTEXT(N22),"",IF(AND(OR(O$1="КУПК",O$1="КУПК (РП/ЗРП)"),N22&gt;0),IF($H22="","",CONCATENATE("Расчёт при NPV = ",TEXT(O$11,"# ##0 ₽"),". Коэф. фин. рез. = ",ROUND(O$10,2))),"")),"")</f>
        <v/>
      </c>
      <c r="P22" s="70"/>
      <c r="Q22" s="71"/>
      <c r="R22" s="72" t="str">
        <f aca="false" t="array" ref="R22:R22">IFERROR(  IF($E22="","",IF(AND($F$1="Да",$F$2=T$5),IF(COUNTIF($E$16:$E$35,"&lt;&gt;")=0,"Веха не участвует в расчете выплат за квартал",1/COUNTIF($E$16:$E$35,"&lt;&gt;")),IF(IF(P22="",$G22,P22)="", "Веха не участвует в расчете выплат за квартал", IF(INT(IF(P22="",$G22,P22))&lt;INT(T$5+60),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2" s="73" t="str">
        <f aca="false">IFERROR(IF($I22&lt;-100,0,IF(IF(AND($F$1="Да",$F$2=T$5),TRUE(),IF(P22="",$G22,P22)&gt;=T$5+60),IF($H22="","",IF(AND(T$1="МП",_xlfn.ISFORMULA(T22)),"Впиши средний KPI за прошлые кварталы",T$8*R22*IF(AND(OR(T$1="КУПК",T$1="РУПК"),$F$3="Да"),90%+10%*MAX(0,MIN(1,($G$3-40%)*2)),1)*MIN((1+IF(P22="",$I22,P22-$H22)*1%)*IF(T$1="РУПК",1,IF(T$1="МП",(T22-50%)*2,T$10)),IF(T$1="РУПК",1.5,IF(T$1="МП",(T22-50%)*2*1.5,IF(P22="",1+0.5*T$10,1.5*T$10)))))),"Веха не участвует в расчете выплат за квартал")),"")</f>
        <v>Веха не участвует в расчете выплат за квартал</v>
      </c>
      <c r="T22" s="74" t="str">
        <f aca="false">IFERROR(IF(ISTEXT(S22),"",IF(AND(OR(T$1="КУПК",T$1="КУПК (РП/ЗРП)"),S22&gt;0),IF($H22="","",CONCATENATE("Расчёт при NPV = ",TEXT(T$11,"# ##0 ₽"),". Коэф. фин. рез. = ",ROUND(T$10,2))),"")),"")</f>
        <v/>
      </c>
    </row>
    <row r="23" s="63" customFormat="true" ht="43.5" hidden="true" customHeight="true" outlineLevel="0" collapsed="false">
      <c r="A23" s="46"/>
      <c r="B23" s="46" t="str">
        <f aca="false">CONCATENATE(E23," ",F23)</f>
        <v> </v>
      </c>
      <c r="C23" s="64" t="n">
        <v>4</v>
      </c>
      <c r="D23" s="65" t="n">
        <f aca="false">D22+1</f>
        <v>8</v>
      </c>
      <c r="E23" s="66"/>
      <c r="F23" s="67"/>
      <c r="G23" s="68"/>
      <c r="H23" s="68"/>
      <c r="I23" s="65" t="str">
        <f aca="false">IF(H23="","",G23-H23)</f>
        <v/>
      </c>
      <c r="J23" s="69" t="str">
        <f aca="false">IF(H23="","",DATE(YEAR(H23),ROUNDUP(MONTH(H23)/3,0)*3+2,10))</f>
        <v/>
      </c>
      <c r="K23" s="70"/>
      <c r="L23" s="71"/>
      <c r="M23" s="72" t="str">
        <f aca="false" t="array" ref="M23:M23">IFERROR(  IF($E23="","",IF(AND($F$1="Да",$F$2=O$5),IF(COUNTIF($E$16:$E$35,"&lt;&gt;")=0,"Веха не участвует в расчете выплат за квартал",1/COUNTIF($E$16:$E$35,"&lt;&gt;")),IF(IF(K23="",$G23,K23)="", "Веха не участвует в расчете выплат за квартал", IF(INT(IF(K23="",$G23,K23))&lt;INT(O$5+60),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3" s="73" t="str">
        <f aca="false">IFERROR(IF($I23&lt;-100,0,IF(IF(AND($F$1="Да",$F$2=O$5),TRUE(),IF(K23="",$G23,K23)&gt;=O$5+60),IF($H23="","",IF(AND(O$1="МП",_xlfn.ISFORMULA(O23)),"Впиши средний KPI за прошлые кварталы",O$8*M23*IF(AND(OR(O$1="КУПК",O$1="РУПК"),$F$3="Да"),90%+10%*MAX(0,MIN(1,($G$3-40%)*2)),1)*MIN((1+IF(K23="",$I23,K23-$H23)*1%)*IF(O$1="РУПК",1,IF(O$1="МП",(O23-50%)*2,O$10)),IF(O$1="РУПК",1.5,IF(O$1="МП",(O23-50%)*2*1.5,IF(K23="",1+0.5*O$10,1.5*O$10)))))),"Веха не участвует в расчете выплат за квартал")),"")</f>
        <v>Веха не участвует в расчете выплат за квартал</v>
      </c>
      <c r="O23" s="74" t="str">
        <f aca="false">IFERROR(IF(ISTEXT(N23),"",IF(AND(OR(O$1="КУПК",O$1="КУПК (РП/ЗРП)"),N23&gt;0),IF($H23="","",CONCATENATE("Расчёт при NPV = ",TEXT(O$11,"# ##0 ₽"),". Коэф. фин. рез. = ",ROUND(O$10,2))),"")),"")</f>
        <v/>
      </c>
      <c r="P23" s="70"/>
      <c r="Q23" s="71"/>
      <c r="R23" s="72" t="str">
        <f aca="false" t="array" ref="R23:R23">IFERROR(  IF($E23="","",IF(AND($F$1="Да",$F$2=T$5),IF(COUNTIF($E$16:$E$35,"&lt;&gt;")=0,"Веха не участвует в расчете выплат за квартал",1/COUNTIF($E$16:$E$35,"&lt;&gt;")),IF(IF(P23="",$G23,P23)="", "Веха не участвует в расчете выплат за квартал", IF(INT(IF(P23="",$G23,P23))&lt;INT(T$5+60),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3" s="73" t="str">
        <f aca="false">IFERROR(IF($I23&lt;-100,0,IF(IF(AND($F$1="Да",$F$2=T$5),TRUE(),IF(P23="",$G23,P23)&gt;=T$5+60),IF($H23="","",IF(AND(T$1="МП",_xlfn.ISFORMULA(T23)),"Впиши средний KPI за прошлые кварталы",T$8*R23*IF(AND(OR(T$1="КУПК",T$1="РУПК"),$F$3="Да"),90%+10%*MAX(0,MIN(1,($G$3-40%)*2)),1)*MIN((1+IF(P23="",$I23,P23-$H23)*1%)*IF(T$1="РУПК",1,IF(T$1="МП",(T23-50%)*2,T$10)),IF(T$1="РУПК",1.5,IF(T$1="МП",(T23-50%)*2*1.5,IF(P23="",1+0.5*T$10,1.5*T$10)))))),"Веха не участвует в расчете выплат за квартал")),"")</f>
        <v>Веха не участвует в расчете выплат за квартал</v>
      </c>
      <c r="T23" s="74" t="str">
        <f aca="false">IFERROR(IF(ISTEXT(S23),"",IF(AND(OR(T$1="КУПК",T$1="КУПК (РП/ЗРП)"),S23&gt;0),IF($H23="","",CONCATENATE("Расчёт при NPV = ",TEXT(T$11,"# ##0 ₽"),". Коэф. фин. рез. = ",ROUND(T$10,2))),"")),"")</f>
        <v/>
      </c>
    </row>
    <row r="24" s="63" customFormat="true" ht="43.5" hidden="true" customHeight="true" outlineLevel="0" collapsed="false">
      <c r="A24" s="46"/>
      <c r="B24" s="46" t="str">
        <f aca="false">CONCATENATE(E24," ",F24)</f>
        <v> </v>
      </c>
      <c r="C24" s="64" t="n">
        <v>4</v>
      </c>
      <c r="D24" s="65" t="n">
        <f aca="false">D23+1</f>
        <v>9</v>
      </c>
      <c r="E24" s="66"/>
      <c r="F24" s="67"/>
      <c r="G24" s="68"/>
      <c r="H24" s="68"/>
      <c r="I24" s="65" t="str">
        <f aca="false">IF(H24="","",G24-H24)</f>
        <v/>
      </c>
      <c r="J24" s="69" t="str">
        <f aca="false">IF(H24="","",DATE(YEAR(H24),ROUNDUP(MONTH(H24)/3,0)*3+2,10))</f>
        <v/>
      </c>
      <c r="K24" s="70"/>
      <c r="L24" s="71"/>
      <c r="M24" s="72" t="str">
        <f aca="false" t="array" ref="M24:M24">IFERROR(  IF($E24="","",IF(AND($F$1="Да",$F$2=O$5),IF(COUNTIF($E$16:$E$35,"&lt;&gt;")=0,"Веха не участвует в расчете выплат за квартал",1/COUNTIF($E$16:$E$35,"&lt;&gt;")),IF(IF(K24="",$G24,K24)="", "Веха не участвует в расчете выплат за квартал", IF(INT(IF(K24="",$G24,K24))&lt;INT(O$5+60),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4" s="73" t="str">
        <f aca="false">IFERROR(IF($I24&lt;-100,0,IF(IF(AND($F$1="Да",$F$2=O$5),TRUE(),IF(K24="",$G24,K24)&gt;=O$5+60),IF($H24="","",IF(AND(O$1="МП",_xlfn.ISFORMULA(O24)),"Впиши средний KPI за прошлые кварталы",O$8*M24*IF(AND(OR(O$1="КУПК",O$1="РУПК"),$F$3="Да"),90%+10%*MAX(0,MIN(1,($G$3-40%)*2)),1)*MIN((1+IF(K24="",$I24,K24-$H24)*1%)*IF(O$1="РУПК",1,IF(O$1="МП",(O24-50%)*2,O$10)),IF(O$1="РУПК",1.5,IF(O$1="МП",(O24-50%)*2*1.5,IF(K24="",1+0.5*O$10,1.5*O$10)))))),"Веха не участвует в расчете выплат за квартал")),"")</f>
        <v>Веха не участвует в расчете выплат за квартал</v>
      </c>
      <c r="O24" s="74" t="str">
        <f aca="false">IFERROR(IF(ISTEXT(N24),"",IF(AND(OR(O$1="КУПК",O$1="КУПК (РП/ЗРП)"),N24&gt;0),IF($H24="","",CONCATENATE("Расчёт при NPV = ",TEXT(O$11,"# ##0 ₽"),". Коэф. фин. рез. = ",ROUND(O$10,2))),"")),"")</f>
        <v/>
      </c>
      <c r="P24" s="70"/>
      <c r="Q24" s="71"/>
      <c r="R24" s="72" t="str">
        <f aca="false" t="array" ref="R24:R24">IFERROR(  IF($E24="","",IF(AND($F$1="Да",$F$2=T$5),IF(COUNTIF($E$16:$E$35,"&lt;&gt;")=0,"Веха не участвует в расчете выплат за квартал",1/COUNTIF($E$16:$E$35,"&lt;&gt;")),IF(IF(P24="",$G24,P24)="", "Веха не участвует в расчете выплат за квартал", IF(INT(IF(P24="",$G24,P24))&lt;INT(T$5+60),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4" s="73" t="str">
        <f aca="false">IFERROR(IF($I24&lt;-100,0,IF(IF(AND($F$1="Да",$F$2=T$5),TRUE(),IF(P24="",$G24,P24)&gt;=T$5+60),IF($H24="","",IF(AND(T$1="МП",_xlfn.ISFORMULA(T24)),"Впиши средний KPI за прошлые кварталы",T$8*R24*IF(AND(OR(T$1="КУПК",T$1="РУПК"),$F$3="Да"),90%+10%*MAX(0,MIN(1,($G$3-40%)*2)),1)*MIN((1+IF(P24="",$I24,P24-$H24)*1%)*IF(T$1="РУПК",1,IF(T$1="МП",(T24-50%)*2,T$10)),IF(T$1="РУПК",1.5,IF(T$1="МП",(T24-50%)*2*1.5,IF(P24="",1+0.5*T$10,1.5*T$10)))))),"Веха не участвует в расчете выплат за квартал")),"")</f>
        <v>Веха не участвует в расчете выплат за квартал</v>
      </c>
      <c r="T24" s="74" t="str">
        <f aca="false">IFERROR(IF(ISTEXT(S24),"",IF(AND(OR(T$1="КУПК",T$1="КУПК (РП/ЗРП)"),S24&gt;0),IF($H24="","",CONCATENATE("Расчёт при NPV = ",TEXT(T$11,"# ##0 ₽"),". Коэф. фин. рез. = ",ROUND(T$10,2))),"")),"")</f>
        <v/>
      </c>
    </row>
    <row r="25" s="63" customFormat="true" ht="43.5" hidden="true" customHeight="true" outlineLevel="0" collapsed="false">
      <c r="A25" s="46"/>
      <c r="B25" s="46" t="str">
        <f aca="false">CONCATENATE(E25," ",F25)</f>
        <v> </v>
      </c>
      <c r="C25" s="64" t="n">
        <v>4</v>
      </c>
      <c r="D25" s="65" t="n">
        <f aca="false">D24+1</f>
        <v>10</v>
      </c>
      <c r="E25" s="66"/>
      <c r="F25" s="67"/>
      <c r="G25" s="68"/>
      <c r="H25" s="68"/>
      <c r="I25" s="65" t="str">
        <f aca="false">IF(H25="","",G25-H25)</f>
        <v/>
      </c>
      <c r="J25" s="69" t="str">
        <f aca="false">IF(H25="","",DATE(YEAR(H25),ROUNDUP(MONTH(H25)/3,0)*3+2,10))</f>
        <v/>
      </c>
      <c r="K25" s="70"/>
      <c r="L25" s="71"/>
      <c r="M25" s="72" t="str">
        <f aca="false" t="array" ref="M25:M25">IFERROR(  IF($E25="","",IF(AND($F$1="Да",$F$2=O$5),IF(COUNTIF($E$16:$E$35,"&lt;&gt;")=0,"Веха не участвует в расчете выплат за квартал",1/COUNTIF($E$16:$E$35,"&lt;&gt;")),IF(IF(K25="",$G25,K25)="", "Веха не участвует в расчете выплат за квартал", IF(INT(IF(K25="",$G25,K25))&lt;INT(O$5+60),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5" s="73" t="str">
        <f aca="false">IFERROR(IF($I25&lt;-100,0,IF(IF(AND($F$1="Да",$F$2=O$5),TRUE(),IF(K25="",$G25,K25)&gt;=O$5+60),IF($H25="","",IF(AND(O$1="МП",_xlfn.ISFORMULA(O25)),"Впиши средний KPI за прошлые кварталы",O$8*M25*IF(AND(OR(O$1="КУПК",O$1="РУПК"),$F$3="Да"),90%+10%*MAX(0,MIN(1,($G$3-40%)*2)),1)*MIN((1+IF(K25="",$I25,K25-$H25)*1%)*IF(O$1="РУПК",1,IF(O$1="МП",(O25-50%)*2,O$10)),IF(O$1="РУПК",1.5,IF(O$1="МП",(O25-50%)*2*1.5,IF(K25="",1+0.5*O$10,1.5*O$10)))))),"Веха не участвует в расчете выплат за квартал")),"")</f>
        <v>Веха не участвует в расчете выплат за квартал</v>
      </c>
      <c r="O25" s="74" t="str">
        <f aca="false">IFERROR(IF(ISTEXT(N25),"",IF(AND(OR(O$1="КУПК",O$1="КУПК (РП/ЗРП)"),N25&gt;0),IF($H25="","",CONCATENATE("Расчёт при NPV = ",TEXT(O$11,"# ##0 ₽"),". Коэф. фин. рез. = ",ROUND(O$10,2))),"")),"")</f>
        <v/>
      </c>
      <c r="P25" s="70"/>
      <c r="Q25" s="71"/>
      <c r="R25" s="72" t="str">
        <f aca="false" t="array" ref="R25:R25">IFERROR(  IF($E25="","",IF(AND($F$1="Да",$F$2=T$5),IF(COUNTIF($E$16:$E$35,"&lt;&gt;")=0,"Веха не участвует в расчете выплат за квартал",1/COUNTIF($E$16:$E$35,"&lt;&gt;")),IF(IF(P25="",$G25,P25)="", "Веха не участвует в расчете выплат за квартал", IF(INT(IF(P25="",$G25,P25))&lt;INT(T$5+60),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5" s="73" t="str">
        <f aca="false">IFERROR(IF($I25&lt;-100,0,IF(IF(AND($F$1="Да",$F$2=T$5),TRUE(),IF(P25="",$G25,P25)&gt;=T$5+60),IF($H25="","",IF(AND(T$1="МП",_xlfn.ISFORMULA(T25)),"Впиши средний KPI за прошлые кварталы",T$8*R25*IF(AND(OR(T$1="КУПК",T$1="РУПК"),$F$3="Да"),90%+10%*MAX(0,MIN(1,($G$3-40%)*2)),1)*MIN((1+IF(P25="",$I25,P25-$H25)*1%)*IF(T$1="РУПК",1,IF(T$1="МП",(T25-50%)*2,T$10)),IF(T$1="РУПК",1.5,IF(T$1="МП",(T25-50%)*2*1.5,IF(P25="",1+0.5*T$10,1.5*T$10)))))),"Веха не участвует в расчете выплат за квартал")),"")</f>
        <v>Веха не участвует в расчете выплат за квартал</v>
      </c>
      <c r="T25" s="74" t="str">
        <f aca="false">IFERROR(IF(ISTEXT(S25),"",IF(AND(OR(T$1="КУПК",T$1="КУПК (РП/ЗРП)"),S25&gt;0),IF($H25="","",CONCATENATE("Расчёт при NPV = ",TEXT(T$11,"# ##0 ₽"),". Коэф. фин. рез. = ",ROUND(T$10,2))),"")),"")</f>
        <v/>
      </c>
    </row>
    <row r="26" s="63" customFormat="true" ht="43.5" hidden="true" customHeight="true" outlineLevel="0" collapsed="false">
      <c r="A26" s="46"/>
      <c r="B26" s="46" t="str">
        <f aca="false">CONCATENATE(E26," ",F26)</f>
        <v> </v>
      </c>
      <c r="C26" s="64" t="n">
        <v>4</v>
      </c>
      <c r="D26" s="65" t="n">
        <f aca="false">D25+1</f>
        <v>11</v>
      </c>
      <c r="E26" s="66"/>
      <c r="F26" s="67"/>
      <c r="G26" s="68"/>
      <c r="H26" s="68"/>
      <c r="I26" s="65" t="str">
        <f aca="false">IF(H26="","",G26-H26)</f>
        <v/>
      </c>
      <c r="J26" s="69" t="str">
        <f aca="false">IF(H26="","",DATE(YEAR(H26),ROUNDUP(MONTH(H26)/3,0)*3+2,10))</f>
        <v/>
      </c>
      <c r="K26" s="70"/>
      <c r="L26" s="71"/>
      <c r="M26" s="72" t="str">
        <f aca="false" t="array" ref="M26:M26">IFERROR(  IF($E26="","",IF(AND($F$1="Да",$F$2=O$5),IF(COUNTIF($E$16:$E$35,"&lt;&gt;")=0,"Веха не участвует в расчете выплат за квартал",1/COUNTIF($E$16:$E$35,"&lt;&gt;")),IF(IF(K26="",$G26,K26)="", "Веха не участвует в расчете выплат за квартал", IF(INT(IF(K26="",$G26,K26))&lt;INT(O$5+60),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6" s="73" t="str">
        <f aca="false">IFERROR(IF($I26&lt;-100,0,IF(IF(AND($F$1="Да",$F$2=O$5),TRUE(),IF(K26="",$G26,K26)&gt;=O$5+60),IF($H26="","",IF(AND(O$1="МП",_xlfn.ISFORMULA(O26)),"Впиши средний KPI за прошлые кварталы",O$8*M26*IF(AND(OR(O$1="КУПК",O$1="РУПК"),$F$3="Да"),90%+10%*MAX(0,MIN(1,($G$3-40%)*2)),1)*MIN((1+IF(K26="",$I26,K26-$H26)*1%)*IF(O$1="РУПК",1,IF(O$1="МП",(O26-50%)*2,O$10)),IF(O$1="РУПК",1.5,IF(O$1="МП",(O26-50%)*2*1.5,IF(K26="",1+0.5*O$10,1.5*O$10)))))),"Веха не участвует в расчете выплат за квартал")),"")</f>
        <v>Веха не участвует в расчете выплат за квартал</v>
      </c>
      <c r="O26" s="74" t="str">
        <f aca="false">IFERROR(IF(ISTEXT(N26),"",IF(AND(OR(O$1="КУПК",O$1="КУПК (РП/ЗРП)"),N26&gt;0),IF($H26="","",CONCATENATE("Расчёт при NPV = ",TEXT(O$11,"# ##0 ₽"),". Коэф. фин. рез. = ",ROUND(O$10,2))),"")),"")</f>
        <v/>
      </c>
      <c r="P26" s="70"/>
      <c r="Q26" s="71"/>
      <c r="R26" s="72" t="str">
        <f aca="false" t="array" ref="R26:R26">IFERROR(  IF($E26="","",IF(AND($F$1="Да",$F$2=T$5),IF(COUNTIF($E$16:$E$35,"&lt;&gt;")=0,"Веха не участвует в расчете выплат за квартал",1/COUNTIF($E$16:$E$35,"&lt;&gt;")),IF(IF(P26="",$G26,P26)="", "Веха не участвует в расчете выплат за квартал", IF(INT(IF(P26="",$G26,P26))&lt;INT(T$5+60),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6" s="73" t="str">
        <f aca="false">IFERROR(IF($I26&lt;-100,0,IF(IF(AND($F$1="Да",$F$2=T$5),TRUE(),IF(P26="",$G26,P26)&gt;=T$5+60),IF($H26="","",IF(AND(T$1="МП",_xlfn.ISFORMULA(T26)),"Впиши средний KPI за прошлые кварталы",T$8*R26*IF(AND(OR(T$1="КУПК",T$1="РУПК"),$F$3="Да"),90%+10%*MAX(0,MIN(1,($G$3-40%)*2)),1)*MIN((1+IF(P26="",$I26,P26-$H26)*1%)*IF(T$1="РУПК",1,IF(T$1="МП",(T26-50%)*2,T$10)),IF(T$1="РУПК",1.5,IF(T$1="МП",(T26-50%)*2*1.5,IF(P26="",1+0.5*T$10,1.5*T$10)))))),"Веха не участвует в расчете выплат за квартал")),"")</f>
        <v>Веха не участвует в расчете выплат за квартал</v>
      </c>
      <c r="T26" s="74" t="str">
        <f aca="false">IFERROR(IF(ISTEXT(S26),"",IF(AND(OR(T$1="КУПК",T$1="КУПК (РП/ЗРП)"),S26&gt;0),IF($H26="","",CONCATENATE("Расчёт при NPV = ",TEXT(T$11,"# ##0 ₽"),". Коэф. фин. рез. = ",ROUND(T$10,2))),"")),"")</f>
        <v/>
      </c>
    </row>
    <row r="27" s="63" customFormat="true" ht="43.5" hidden="true" customHeight="true" outlineLevel="0" collapsed="false">
      <c r="A27" s="46"/>
      <c r="B27" s="46" t="str">
        <f aca="false">CONCATENATE(E27," ",F27)</f>
        <v> </v>
      </c>
      <c r="C27" s="64" t="n">
        <v>4</v>
      </c>
      <c r="D27" s="65" t="n">
        <f aca="false">D26+1</f>
        <v>12</v>
      </c>
      <c r="E27" s="66"/>
      <c r="F27" s="67"/>
      <c r="G27" s="68"/>
      <c r="H27" s="68"/>
      <c r="I27" s="65" t="str">
        <f aca="false">IF(H27="","",G27-H27)</f>
        <v/>
      </c>
      <c r="J27" s="69" t="str">
        <f aca="false">IF(H27="","",DATE(YEAR(H27),ROUNDUP(MONTH(H27)/3,0)*3+2,10))</f>
        <v/>
      </c>
      <c r="K27" s="70"/>
      <c r="L27" s="71"/>
      <c r="M27" s="72" t="str">
        <f aca="false" t="array" ref="M27:M27">IFERROR(  IF($E27="","",IF(AND($F$1="Да",$F$2=O$5),IF(COUNTIF($E$16:$E$35,"&lt;&gt;")=0,"Веха не участвует в расчете выплат за квартал",1/COUNTIF($E$16:$E$35,"&lt;&gt;")),IF(IF(K27="",$G27,K27)="", "Веха не участвует в расчете выплат за квартал", IF(INT(IF(K27="",$G27,K27))&lt;INT(O$5+60),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7" s="73" t="str">
        <f aca="false">IFERROR(IF($I27&lt;-100,0,IF(IF(AND($F$1="Да",$F$2=O$5),TRUE(),IF(K27="",$G27,K27)&gt;=O$5+60),IF($H27="","",IF(AND(O$1="МП",_xlfn.ISFORMULA(O27)),"Впиши средний KPI за прошлые кварталы",O$8*M27*IF(AND(OR(O$1="КУПК",O$1="РУПК"),$F$3="Да"),90%+10%*MAX(0,MIN(1,($G$3-40%)*2)),1)*MIN((1+IF(K27="",$I27,K27-$H27)*1%)*IF(O$1="РУПК",1,IF(O$1="МП",(O27-50%)*2,O$10)),IF(O$1="РУПК",1.5,IF(O$1="МП",(O27-50%)*2*1.5,IF(K27="",1+0.5*O$10,1.5*O$10)))))),"Веха не участвует в расчете выплат за квартал")),"")</f>
        <v>Веха не участвует в расчете выплат за квартал</v>
      </c>
      <c r="O27" s="74" t="str">
        <f aca="false">IFERROR(IF(ISTEXT(N27),"",IF(AND(OR(O$1="КУПК",O$1="КУПК (РП/ЗРП)"),N27&gt;0),IF($H27="","",CONCATENATE("Расчёт при NPV = ",TEXT(O$11,"# ##0 ₽"),". Коэф. фин. рез. = ",ROUND(O$10,2))),"")),"")</f>
        <v/>
      </c>
      <c r="P27" s="70"/>
      <c r="Q27" s="71"/>
      <c r="R27" s="72" t="str">
        <f aca="false" t="array" ref="R27:R27">IFERROR(  IF($E27="","",IF(AND($F$1="Да",$F$2=T$5),IF(COUNTIF($E$16:$E$35,"&lt;&gt;")=0,"Веха не участвует в расчете выплат за квартал",1/COUNTIF($E$16:$E$35,"&lt;&gt;")),IF(IF(P27="",$G27,P27)="", "Веха не участвует в расчете выплат за квартал", IF(INT(IF(P27="",$G27,P27))&lt;INT(T$5+60),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7" s="73" t="str">
        <f aca="false">IFERROR(IF($I27&lt;-100,0,IF(IF(AND($F$1="Да",$F$2=T$5),TRUE(),IF(P27="",$G27,P27)&gt;=T$5+60),IF($H27="","",IF(AND(T$1="МП",_xlfn.ISFORMULA(T27)),"Впиши средний KPI за прошлые кварталы",T$8*R27*IF(AND(OR(T$1="КУПК",T$1="РУПК"),$F$3="Да"),90%+10%*MAX(0,MIN(1,($G$3-40%)*2)),1)*MIN((1+IF(P27="",$I27,P27-$H27)*1%)*IF(T$1="РУПК",1,IF(T$1="МП",(T27-50%)*2,T$10)),IF(T$1="РУПК",1.5,IF(T$1="МП",(T27-50%)*2*1.5,IF(P27="",1+0.5*T$10,1.5*T$10)))))),"Веха не участвует в расчете выплат за квартал")),"")</f>
        <v>Веха не участвует в расчете выплат за квартал</v>
      </c>
      <c r="T27" s="74" t="str">
        <f aca="false">IFERROR(IF(ISTEXT(S27),"",IF(AND(OR(T$1="КУПК",T$1="КУПК (РП/ЗРП)"),S27&gt;0),IF($H27="","",CONCATENATE("Расчёт при NPV = ",TEXT(T$11,"# ##0 ₽"),". Коэф. фин. рез. = ",ROUND(T$10,2))),"")),"")</f>
        <v/>
      </c>
    </row>
    <row r="28" s="63" customFormat="true" ht="43.5" hidden="true" customHeight="true" outlineLevel="0" collapsed="false">
      <c r="A28" s="46"/>
      <c r="B28" s="46" t="str">
        <f aca="false">CONCATENATE(E28," ",F28)</f>
        <v> </v>
      </c>
      <c r="C28" s="64" t="n">
        <v>4</v>
      </c>
      <c r="D28" s="65" t="n">
        <f aca="false">D27+1</f>
        <v>13</v>
      </c>
      <c r="E28" s="66"/>
      <c r="F28" s="67"/>
      <c r="G28" s="68"/>
      <c r="H28" s="68"/>
      <c r="I28" s="65" t="str">
        <f aca="false">IF(H28="","",G28-H28)</f>
        <v/>
      </c>
      <c r="J28" s="69" t="str">
        <f aca="false">IF(H28="","",DATE(YEAR(H28),ROUNDUP(MONTH(H28)/3,0)*3+2,10))</f>
        <v/>
      </c>
      <c r="K28" s="70"/>
      <c r="L28" s="71"/>
      <c r="M28" s="72" t="str">
        <f aca="false" t="array" ref="M28:M28">IFERROR(  IF($E28="","",IF(AND($F$1="Да",$F$2=O$5),IF(COUNTIF($E$16:$E$35,"&lt;&gt;")=0,"Веха не участвует в расчете выплат за квартал",1/COUNTIF($E$16:$E$35,"&lt;&gt;")),IF(IF(K28="",$G28,K28)="", "Веха не участвует в расчете выплат за квартал", IF(INT(IF(K28="",$G28,K28))&lt;INT(O$5+60),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8" s="73" t="str">
        <f aca="false">IFERROR(IF($I28&lt;-100,0,IF(IF(AND($F$1="Да",$F$2=O$5),TRUE(),IF(K28="",$G28,K28)&gt;=O$5+60),IF($H28="","",IF(AND(O$1="МП",_xlfn.ISFORMULA(O28)),"Впиши средний KPI за прошлые кварталы",O$8*M28*IF(AND(OR(O$1="КУПК",O$1="РУПК"),$F$3="Да"),90%+10%*MAX(0,MIN(1,($G$3-40%)*2)),1)*MIN((1+IF(K28="",$I28,K28-$H28)*1%)*IF(O$1="РУПК",1,IF(O$1="МП",(O28-50%)*2,O$10)),IF(O$1="РУПК",1.5,IF(O$1="МП",(O28-50%)*2*1.5,IF(K28="",1+0.5*O$10,1.5*O$10)))))),"Веха не участвует в расчете выплат за квартал")),"")</f>
        <v>Веха не участвует в расчете выплат за квартал</v>
      </c>
      <c r="O28" s="74" t="str">
        <f aca="false">IFERROR(IF(ISTEXT(N28),"",IF(AND(OR(O$1="КУПК",O$1="КУПК (РП/ЗРП)"),N28&gt;0),IF($H28="","",CONCATENATE("Расчёт при NPV = ",TEXT(O$11,"# ##0 ₽"),". Коэф. фин. рез. = ",ROUND(O$10,2))),"")),"")</f>
        <v/>
      </c>
      <c r="P28" s="70"/>
      <c r="Q28" s="71"/>
      <c r="R28" s="72" t="str">
        <f aca="false" t="array" ref="R28:R28">IFERROR(  IF($E28="","",IF(AND($F$1="Да",$F$2=T$5),IF(COUNTIF($E$16:$E$35,"&lt;&gt;")=0,"Веха не участвует в расчете выплат за квартал",1/COUNTIF($E$16:$E$35,"&lt;&gt;")),IF(IF(P28="",$G28,P28)="", "Веха не участвует в расчете выплат за квартал", IF(INT(IF(P28="",$G28,P28))&lt;INT(T$5+60),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8" s="73" t="str">
        <f aca="false">IFERROR(IF($I28&lt;-100,0,IF(IF(AND($F$1="Да",$F$2=T$5),TRUE(),IF(P28="",$G28,P28)&gt;=T$5+60),IF($H28="","",IF(AND(T$1="МП",_xlfn.ISFORMULA(T28)),"Впиши средний KPI за прошлые кварталы",T$8*R28*IF(AND(OR(T$1="КУПК",T$1="РУПК"),$F$3="Да"),90%+10%*MAX(0,MIN(1,($G$3-40%)*2)),1)*MIN((1+IF(P28="",$I28,P28-$H28)*1%)*IF(T$1="РУПК",1,IF(T$1="МП",(T28-50%)*2,T$10)),IF(T$1="РУПК",1.5,IF(T$1="МП",(T28-50%)*2*1.5,IF(P28="",1+0.5*T$10,1.5*T$10)))))),"Веха не участвует в расчете выплат за квартал")),"")</f>
        <v>Веха не участвует в расчете выплат за квартал</v>
      </c>
      <c r="T28" s="74" t="str">
        <f aca="false">IFERROR(IF(ISTEXT(S28),"",IF(AND(OR(T$1="КУПК",T$1="КУПК (РП/ЗРП)"),S28&gt;0),IF($H28="","",CONCATENATE("Расчёт при NPV = ",TEXT(T$11,"# ##0 ₽"),". Коэф. фин. рез. = ",ROUND(T$10,2))),"")),"")</f>
        <v/>
      </c>
    </row>
    <row r="29" s="63" customFormat="true" ht="43.5" hidden="true" customHeight="true" outlineLevel="0" collapsed="false">
      <c r="A29" s="46"/>
      <c r="B29" s="46" t="str">
        <f aca="false">CONCATENATE(E29," ",F29)</f>
        <v> </v>
      </c>
      <c r="C29" s="64" t="n">
        <v>4</v>
      </c>
      <c r="D29" s="65" t="n">
        <f aca="false">D28+1</f>
        <v>14</v>
      </c>
      <c r="E29" s="66"/>
      <c r="F29" s="67"/>
      <c r="G29" s="68"/>
      <c r="H29" s="68"/>
      <c r="I29" s="65" t="str">
        <f aca="false">IF(H29="","",G29-H29)</f>
        <v/>
      </c>
      <c r="J29" s="69" t="str">
        <f aca="false">IF(H29="","",DATE(YEAR(H29),ROUNDUP(MONTH(H29)/3,0)*3+2,10))</f>
        <v/>
      </c>
      <c r="K29" s="70"/>
      <c r="L29" s="71"/>
      <c r="M29" s="72" t="str">
        <f aca="false" t="array" ref="M29:M29">IFERROR(  IF($E29="","",IF(AND($F$1="Да",$F$2=O$5),IF(COUNTIF($E$16:$E$35,"&lt;&gt;")=0,"Веха не участвует в расчете выплат за квартал",1/COUNTIF($E$16:$E$35,"&lt;&gt;")),IF(IF(K29="",$G29,K29)="", "Веха не участвует в расчете выплат за квартал", IF(INT(IF(K29="",$G29,K29))&lt;INT(O$5+60),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29" s="73" t="str">
        <f aca="false">IFERROR(IF($I29&lt;-100,0,IF(IF(AND($F$1="Да",$F$2=O$5),TRUE(),IF(K29="",$G29,K29)&gt;=O$5+60),IF($H29="","",IF(AND(O$1="МП",_xlfn.ISFORMULA(O29)),"Впиши средний KPI за прошлые кварталы",O$8*M29*IF(AND(OR(O$1="КУПК",O$1="РУПК"),$F$3="Да"),90%+10%*MAX(0,MIN(1,($G$3-40%)*2)),1)*MIN((1+IF(K29="",$I29,K29-$H29)*1%)*IF(O$1="РУПК",1,IF(O$1="МП",(O29-50%)*2,O$10)),IF(O$1="РУПК",1.5,IF(O$1="МП",(O29-50%)*2*1.5,IF(K29="",1+0.5*O$10,1.5*O$10)))))),"Веха не участвует в расчете выплат за квартал")),"")</f>
        <v>Веха не участвует в расчете выплат за квартал</v>
      </c>
      <c r="O29" s="74" t="str">
        <f aca="false">IFERROR(IF(ISTEXT(N29),"",IF(AND(OR(O$1="КУПК",O$1="КУПК (РП/ЗРП)"),N29&gt;0),IF($H29="","",CONCATENATE("Расчёт при NPV = ",TEXT(O$11,"# ##0 ₽"),". Коэф. фин. рез. = ",ROUND(O$10,2))),"")),"")</f>
        <v/>
      </c>
      <c r="P29" s="70"/>
      <c r="Q29" s="71"/>
      <c r="R29" s="72" t="str">
        <f aca="false" t="array" ref="R29:R29">IFERROR(  IF($E29="","",IF(AND($F$1="Да",$F$2=T$5),IF(COUNTIF($E$16:$E$35,"&lt;&gt;")=0,"Веха не участвует в расчете выплат за квартал",1/COUNTIF($E$16:$E$35,"&lt;&gt;")),IF(IF(P29="",$G29,P29)="", "Веха не участвует в расчете выплат за квартал", IF(INT(IF(P29="",$G29,P29))&lt;INT(T$5+60),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29" s="73" t="str">
        <f aca="false">IFERROR(IF($I29&lt;-100,0,IF(IF(AND($F$1="Да",$F$2=T$5),TRUE(),IF(P29="",$G29,P29)&gt;=T$5+60),IF($H29="","",IF(AND(T$1="МП",_xlfn.ISFORMULA(T29)),"Впиши средний KPI за прошлые кварталы",T$8*R29*IF(AND(OR(T$1="КУПК",T$1="РУПК"),$F$3="Да"),90%+10%*MAX(0,MIN(1,($G$3-40%)*2)),1)*MIN((1+IF(P29="",$I29,P29-$H29)*1%)*IF(T$1="РУПК",1,IF(T$1="МП",(T29-50%)*2,T$10)),IF(T$1="РУПК",1.5,IF(T$1="МП",(T29-50%)*2*1.5,IF(P29="",1+0.5*T$10,1.5*T$10)))))),"Веха не участвует в расчете выплат за квартал")),"")</f>
        <v>Веха не участвует в расчете выплат за квартал</v>
      </c>
      <c r="T29" s="74" t="str">
        <f aca="false">IFERROR(IF(ISTEXT(S29),"",IF(AND(OR(T$1="КУПК",T$1="КУПК (РП/ЗРП)"),S29&gt;0),IF($H29="","",CONCATENATE("Расчёт при NPV = ",TEXT(T$11,"# ##0 ₽"),". Коэф. фин. рез. = ",ROUND(T$10,2))),"")),"")</f>
        <v/>
      </c>
    </row>
    <row r="30" s="63" customFormat="true" ht="43.5" hidden="true" customHeight="true" outlineLevel="0" collapsed="false">
      <c r="A30" s="46"/>
      <c r="B30" s="46" t="str">
        <f aca="false">CONCATENATE(E30," ",F30)</f>
        <v> </v>
      </c>
      <c r="C30" s="64" t="n">
        <v>4</v>
      </c>
      <c r="D30" s="65" t="n">
        <f aca="false">D29+1</f>
        <v>15</v>
      </c>
      <c r="E30" s="66"/>
      <c r="F30" s="67"/>
      <c r="G30" s="68"/>
      <c r="H30" s="68"/>
      <c r="I30" s="65" t="str">
        <f aca="false">IF(H30="","",G30-H30)</f>
        <v/>
      </c>
      <c r="J30" s="69" t="str">
        <f aca="false">IF(H30="","",DATE(YEAR(H30),ROUNDUP(MONTH(H30)/3,0)*3+2,10))</f>
        <v/>
      </c>
      <c r="K30" s="70"/>
      <c r="L30" s="71"/>
      <c r="M30" s="72" t="str">
        <f aca="false" t="array" ref="M30:M30">IFERROR(  IF($E30="","",IF(AND($F$1="Да",$F$2=O$5),IF(COUNTIF($E$16:$E$35,"&lt;&gt;")=0,"Веха не участвует в расчете выплат за квартал",1/COUNTIF($E$16:$E$35,"&lt;&gt;")),IF(IF(K30="",$G30,K30)="", "Веха не участвует в расчете выплат за квартал", IF(INT(IF(K30="",$G30,K30))&lt;INT(O$5+60),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0" s="73" t="str">
        <f aca="false">IFERROR(IF($I30&lt;-100,0,IF(IF(AND($F$1="Да",$F$2=O$5),TRUE(),IF(K30="",$G30,K30)&gt;=O$5+60),IF($H30="","",IF(AND(O$1="МП",_xlfn.ISFORMULA(O30)),"Впиши средний KPI за прошлые кварталы",O$8*M30*IF(AND(OR(O$1="КУПК",O$1="РУПК"),$F$3="Да"),90%+10%*MAX(0,MIN(1,($G$3-40%)*2)),1)*MIN((1+IF(K30="",$I30,K30-$H30)*1%)*IF(O$1="РУПК",1,IF(O$1="МП",(O30-50%)*2,O$10)),IF(O$1="РУПК",1.5,IF(O$1="МП",(O30-50%)*2*1.5,IF(K30="",1+0.5*O$10,1.5*O$10)))))),"Веха не участвует в расчете выплат за квартал")),"")</f>
        <v>Веха не участвует в расчете выплат за квартал</v>
      </c>
      <c r="O30" s="74" t="str">
        <f aca="false">IFERROR(IF(ISTEXT(N30),"",IF(AND(OR(O$1="КУПК",O$1="КУПК (РП/ЗРП)"),N30&gt;0),IF($H30="","",CONCATENATE("Расчёт при NPV = ",TEXT(O$11,"# ##0 ₽"),". Коэф. фин. рез. = ",ROUND(O$10,2))),"")),"")</f>
        <v/>
      </c>
      <c r="P30" s="70"/>
      <c r="Q30" s="71"/>
      <c r="R30" s="72" t="str">
        <f aca="false" t="array" ref="R30:R30">IFERROR(  IF($E30="","",IF(AND($F$1="Да",$F$2=T$5),IF(COUNTIF($E$16:$E$35,"&lt;&gt;")=0,"Веха не участвует в расчете выплат за квартал",1/COUNTIF($E$16:$E$35,"&lt;&gt;")),IF(IF(P30="",$G30,P30)="", "Веха не участвует в расчете выплат за квартал", IF(INT(IF(P30="",$G30,P30))&lt;INT(T$5+60),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0" s="73" t="str">
        <f aca="false">IFERROR(IF($I30&lt;-100,0,IF(IF(AND($F$1="Да",$F$2=T$5),TRUE(),IF(P30="",$G30,P30)&gt;=T$5+60),IF($H30="","",IF(AND(T$1="МП",_xlfn.ISFORMULA(T30)),"Впиши средний KPI за прошлые кварталы",T$8*R30*IF(AND(OR(T$1="КУПК",T$1="РУПК"),$F$3="Да"),90%+10%*MAX(0,MIN(1,($G$3-40%)*2)),1)*MIN((1+IF(P30="",$I30,P30-$H30)*1%)*IF(T$1="РУПК",1,IF(T$1="МП",(T30-50%)*2,T$10)),IF(T$1="РУПК",1.5,IF(T$1="МП",(T30-50%)*2*1.5,IF(P30="",1+0.5*T$10,1.5*T$10)))))),"Веха не участвует в расчете выплат за квартал")),"")</f>
        <v>Веха не участвует в расчете выплат за квартал</v>
      </c>
      <c r="T30" s="74" t="str">
        <f aca="false">IFERROR(IF(ISTEXT(S30),"",IF(AND(OR(T$1="КУПК",T$1="КУПК (РП/ЗРП)"),S30&gt;0),IF($H30="","",CONCATENATE("Расчёт при NPV = ",TEXT(T$11,"# ##0 ₽"),". Коэф. фин. рез. = ",ROUND(T$10,2))),"")),"")</f>
        <v/>
      </c>
    </row>
    <row r="31" s="63" customFormat="true" ht="43.5" hidden="true" customHeight="true" outlineLevel="0" collapsed="false">
      <c r="A31" s="46"/>
      <c r="B31" s="46" t="str">
        <f aca="false">CONCATENATE(E31," ",F31)</f>
        <v> </v>
      </c>
      <c r="C31" s="64" t="n">
        <v>4</v>
      </c>
      <c r="D31" s="65" t="n">
        <f aca="false">D30+1</f>
        <v>16</v>
      </c>
      <c r="E31" s="66"/>
      <c r="F31" s="67"/>
      <c r="G31" s="68"/>
      <c r="H31" s="68"/>
      <c r="I31" s="65" t="str">
        <f aca="false">IF(H31="","",G31-H31)</f>
        <v/>
      </c>
      <c r="J31" s="69" t="str">
        <f aca="false">IF(H31="","",DATE(YEAR(H31),ROUNDUP(MONTH(H31)/3,0)*3+2,10))</f>
        <v/>
      </c>
      <c r="K31" s="70"/>
      <c r="L31" s="71"/>
      <c r="M31" s="72" t="str">
        <f aca="false" t="array" ref="M31:M31">IFERROR(  IF($E31="","",IF(AND($F$1="Да",$F$2=O$5),IF(COUNTIF($E$16:$E$35,"&lt;&gt;")=0,"Веха не участвует в расчете выплат за квартал",1/COUNTIF($E$16:$E$35,"&lt;&gt;")),IF(IF(K31="",$G31,K31)="", "Веха не участвует в расчете выплат за квартал", IF(INT(IF(K31="",$G31,K31))&lt;INT(O$5+60),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1" s="73" t="str">
        <f aca="false">IFERROR(IF($I31&lt;-100,0,IF(IF(AND($F$1="Да",$F$2=O$5),TRUE(),IF(K31="",$G31,K31)&gt;=O$5+60),IF($H31="","",IF(AND(O$1="МП",_xlfn.ISFORMULA(O31)),"Впиши средний KPI за прошлые кварталы",O$8*M31*IF(AND(OR(O$1="КУПК",O$1="РУПК"),$F$3="Да"),90%+10%*MAX(0,MIN(1,($G$3-40%)*2)),1)*MIN((1+IF(K31="",$I31,K31-$H31)*1%)*IF(O$1="РУПК",1,IF(O$1="МП",(O31-50%)*2,O$10)),IF(O$1="РУПК",1.5,IF(O$1="МП",(O31-50%)*2*1.5,IF(K31="",1+0.5*O$10,1.5*O$10)))))),"Веха не участвует в расчете выплат за квартал")),"")</f>
        <v>Веха не участвует в расчете выплат за квартал</v>
      </c>
      <c r="O31" s="74" t="str">
        <f aca="false">IFERROR(IF(ISTEXT(N31),"",IF(AND(OR(O$1="КУПК",O$1="КУПК (РП/ЗРП)"),N31&gt;0),IF($H31="","",CONCATENATE("Расчёт при NPV = ",TEXT(O$11,"# ##0 ₽"),". Коэф. фин. рез. = ",ROUND(O$10,2))),"")),"")</f>
        <v/>
      </c>
      <c r="P31" s="70"/>
      <c r="Q31" s="71"/>
      <c r="R31" s="72" t="str">
        <f aca="false" t="array" ref="R31:R31">IFERROR(  IF($E31="","",IF(AND($F$1="Да",$F$2=T$5),IF(COUNTIF($E$16:$E$35,"&lt;&gt;")=0,"Веха не участвует в расчете выплат за квартал",1/COUNTIF($E$16:$E$35,"&lt;&gt;")),IF(IF(P31="",$G31,P31)="", "Веха не участвует в расчете выплат за квартал", IF(INT(IF(P31="",$G31,P31))&lt;INT(T$5+60),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1" s="73" t="str">
        <f aca="false">IFERROR(IF($I31&lt;-100,0,IF(IF(AND($F$1="Да",$F$2=T$5),TRUE(),IF(P31="",$G31,P31)&gt;=T$5+60),IF($H31="","",IF(AND(T$1="МП",_xlfn.ISFORMULA(T31)),"Впиши средний KPI за прошлые кварталы",T$8*R31*IF(AND(OR(T$1="КУПК",T$1="РУПК"),$F$3="Да"),90%+10%*MAX(0,MIN(1,($G$3-40%)*2)),1)*MIN((1+IF(P31="",$I31,P31-$H31)*1%)*IF(T$1="РУПК",1,IF(T$1="МП",(T31-50%)*2,T$10)),IF(T$1="РУПК",1.5,IF(T$1="МП",(T31-50%)*2*1.5,IF(P31="",1+0.5*T$10,1.5*T$10)))))),"Веха не участвует в расчете выплат за квартал")),"")</f>
        <v>Веха не участвует в расчете выплат за квартал</v>
      </c>
      <c r="T31" s="74" t="str">
        <f aca="false">IFERROR(IF(ISTEXT(S31),"",IF(AND(OR(T$1="КУПК",T$1="КУПК (РП/ЗРП)"),S31&gt;0),IF($H31="","",CONCATENATE("Расчёт при NPV = ",TEXT(T$11,"# ##0 ₽"),". Коэф. фин. рез. = ",ROUND(T$10,2))),"")),"")</f>
        <v/>
      </c>
    </row>
    <row r="32" s="63" customFormat="true" ht="43.5" hidden="true" customHeight="true" outlineLevel="0" collapsed="false">
      <c r="A32" s="46"/>
      <c r="B32" s="46" t="str">
        <f aca="false">CONCATENATE(E32," ",F32)</f>
        <v> </v>
      </c>
      <c r="C32" s="64" t="n">
        <v>4</v>
      </c>
      <c r="D32" s="65" t="n">
        <f aca="false">D31+1</f>
        <v>17</v>
      </c>
      <c r="E32" s="66"/>
      <c r="F32" s="67"/>
      <c r="G32" s="68"/>
      <c r="H32" s="68"/>
      <c r="I32" s="65" t="str">
        <f aca="false">IF(H32="","",G32-H32)</f>
        <v/>
      </c>
      <c r="J32" s="69" t="str">
        <f aca="false">IF(H32="","",DATE(YEAR(H32),ROUNDUP(MONTH(H32)/3,0)*3+2,10))</f>
        <v/>
      </c>
      <c r="K32" s="70"/>
      <c r="L32" s="71"/>
      <c r="M32" s="72" t="str">
        <f aca="false" t="array" ref="M32:M32">IFERROR(  IF($E32="","",IF(AND($F$1="Да",$F$2=O$5),IF(COUNTIF($E$16:$E$35,"&lt;&gt;")=0,"Веха не участвует в расчете выплат за квартал",1/COUNTIF($E$16:$E$35,"&lt;&gt;")),IF(IF(K32="",$G32,K32)="", "Веха не участвует в расчете выплат за квартал", IF(INT(IF(K32="",$G32,K32))&lt;INT(O$5+60),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2" s="73" t="str">
        <f aca="false">IFERROR(IF($I32&lt;-100,0,IF(IF(AND($F$1="Да",$F$2=O$5),TRUE(),IF(K32="",$G32,K32)&gt;=O$5+60),IF($H32="","",IF(AND(O$1="МП",_xlfn.ISFORMULA(O32)),"Впиши средний KPI за прошлые кварталы",O$8*M32*IF(AND(OR(O$1="КУПК",O$1="РУПК"),$F$3="Да"),90%+10%*MAX(0,MIN(1,($G$3-40%)*2)),1)*MIN((1+IF(K32="",$I32,K32-$H32)*1%)*IF(O$1="РУПК",1,IF(O$1="МП",(O32-50%)*2,O$10)),IF(O$1="РУПК",1.5,IF(O$1="МП",(O32-50%)*2*1.5,IF(K32="",1+0.5*O$10,1.5*O$10)))))),"Веха не участвует в расчете выплат за квартал")),"")</f>
        <v>Веха не участвует в расчете выплат за квартал</v>
      </c>
      <c r="O32" s="74" t="str">
        <f aca="false">IFERROR(IF(ISTEXT(N32),"",IF(AND(OR(O$1="КУПК",O$1="КУПК (РП/ЗРП)"),N32&gt;0),IF($H32="","",CONCATENATE("Расчёт при NPV = ",TEXT(O$11,"# ##0 ₽"),". Коэф. фин. рез. = ",ROUND(O$10,2))),"")),"")</f>
        <v/>
      </c>
      <c r="P32" s="70"/>
      <c r="Q32" s="71"/>
      <c r="R32" s="72" t="str">
        <f aca="false" t="array" ref="R32:R32">IFERROR(  IF($E32="","",IF(AND($F$1="Да",$F$2=T$5),IF(COUNTIF($E$16:$E$35,"&lt;&gt;")=0,"Веха не участвует в расчете выплат за квартал",1/COUNTIF($E$16:$E$35,"&lt;&gt;")),IF(IF(P32="",$G32,P32)="", "Веха не участвует в расчете выплат за квартал", IF(INT(IF(P32="",$G32,P32))&lt;INT(T$5+60),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2" s="73" t="str">
        <f aca="false">IFERROR(IF($I32&lt;-100,0,IF(IF(AND($F$1="Да",$F$2=T$5),TRUE(),IF(P32="",$G32,P32)&gt;=T$5+60),IF($H32="","",IF(AND(T$1="МП",_xlfn.ISFORMULA(T32)),"Впиши средний KPI за прошлые кварталы",T$8*R32*IF(AND(OR(T$1="КУПК",T$1="РУПК"),$F$3="Да"),90%+10%*MAX(0,MIN(1,($G$3-40%)*2)),1)*MIN((1+IF(P32="",$I32,P32-$H32)*1%)*IF(T$1="РУПК",1,IF(T$1="МП",(T32-50%)*2,T$10)),IF(T$1="РУПК",1.5,IF(T$1="МП",(T32-50%)*2*1.5,IF(P32="",1+0.5*T$10,1.5*T$10)))))),"Веха не участвует в расчете выплат за квартал")),"")</f>
        <v>Веха не участвует в расчете выплат за квартал</v>
      </c>
      <c r="T32" s="74" t="str">
        <f aca="false">IFERROR(IF(ISTEXT(S32),"",IF(AND(OR(T$1="КУПК",T$1="КУПК (РП/ЗРП)"),S32&gt;0),IF($H32="","",CONCATENATE("Расчёт при NPV = ",TEXT(T$11,"# ##0 ₽"),". Коэф. фин. рез. = ",ROUND(T$10,2))),"")),"")</f>
        <v/>
      </c>
    </row>
    <row r="33" s="63" customFormat="true" ht="43.5" hidden="true" customHeight="true" outlineLevel="0" collapsed="false">
      <c r="A33" s="46"/>
      <c r="B33" s="46" t="str">
        <f aca="false">CONCATENATE(E33," ",F33)</f>
        <v> </v>
      </c>
      <c r="C33" s="64" t="n">
        <v>4</v>
      </c>
      <c r="D33" s="65" t="n">
        <f aca="false">D32+1</f>
        <v>18</v>
      </c>
      <c r="E33" s="66"/>
      <c r="F33" s="67"/>
      <c r="G33" s="68"/>
      <c r="H33" s="68"/>
      <c r="I33" s="65" t="str">
        <f aca="false">IF(H33="","",G33-H33)</f>
        <v/>
      </c>
      <c r="J33" s="69" t="str">
        <f aca="false">IF(H33="","",DATE(YEAR(H33),ROUNDUP(MONTH(H33)/3,0)*3+2,10))</f>
        <v/>
      </c>
      <c r="K33" s="70"/>
      <c r="L33" s="71"/>
      <c r="M33" s="72" t="str">
        <f aca="false" t="array" ref="M33:M33">IFERROR(  IF($E33="","",IF(AND($F$1="Да",$F$2=O$5),IF(COUNTIF($E$16:$E$35,"&lt;&gt;")=0,"Веха не участвует в расчете выплат за квартал",1/COUNTIF($E$16:$E$35,"&lt;&gt;")),IF(IF(K33="",$G33,K33)="", "Веха не участвует в расчете выплат за квартал", IF(INT(IF(K33="",$G33,K33))&lt;INT(O$5+60),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3" s="73" t="str">
        <f aca="false">IFERROR(IF($I33&lt;-100,0,IF(IF(AND($F$1="Да",$F$2=O$5),TRUE(),IF(K33="",$G33,K33)&gt;=O$5+60),IF($H33="","",IF(AND(O$1="МП",_xlfn.ISFORMULA(O33)),"Впиши средний KPI за прошлые кварталы",O$8*M33*IF(AND(OR(O$1="КУПК",O$1="РУПК"),$F$3="Да"),90%+10%*MAX(0,MIN(1,($G$3-40%)*2)),1)*MIN((1+IF(K33="",$I33,K33-$H33)*1%)*IF(O$1="РУПК",1,IF(O$1="МП",(O33-50%)*2,O$10)),IF(O$1="РУПК",1.5,IF(O$1="МП",(O33-50%)*2*1.5,IF(K33="",1+0.5*O$10,1.5*O$10)))))),"Веха не участвует в расчете выплат за квартал")),"")</f>
        <v>Веха не участвует в расчете выплат за квартал</v>
      </c>
      <c r="O33" s="74" t="str">
        <f aca="false">IFERROR(IF(ISTEXT(N33),"",IF(AND(OR(O$1="КУПК",O$1="КУПК (РП/ЗРП)"),N33&gt;0),IF($H33="","",CONCATENATE("Расчёт при NPV = ",TEXT(O$11,"# ##0 ₽"),". Коэф. фин. рез. = ",ROUND(O$10,2))),"")),"")</f>
        <v/>
      </c>
      <c r="P33" s="70"/>
      <c r="Q33" s="71"/>
      <c r="R33" s="72" t="str">
        <f aca="false" t="array" ref="R33:R33">IFERROR(  IF($E33="","",IF(AND($F$1="Да",$F$2=T$5),IF(COUNTIF($E$16:$E$35,"&lt;&gt;")=0,"Веха не участвует в расчете выплат за квартал",1/COUNTIF($E$16:$E$35,"&lt;&gt;")),IF(IF(P33="",$G33,P33)="", "Веха не участвует в расчете выплат за квартал", IF(INT(IF(P33="",$G33,P33))&lt;INT(T$5+60),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3" s="73" t="str">
        <f aca="false">IFERROR(IF($I33&lt;-100,0,IF(IF(AND($F$1="Да",$F$2=T$5),TRUE(),IF(P33="",$G33,P33)&gt;=T$5+60),IF($H33="","",IF(AND(T$1="МП",_xlfn.ISFORMULA(T33)),"Впиши средний KPI за прошлые кварталы",T$8*R33*IF(AND(OR(T$1="КУПК",T$1="РУПК"),$F$3="Да"),90%+10%*MAX(0,MIN(1,($G$3-40%)*2)),1)*MIN((1+IF(P33="",$I33,P33-$H33)*1%)*IF(T$1="РУПК",1,IF(T$1="МП",(T33-50%)*2,T$10)),IF(T$1="РУПК",1.5,IF(T$1="МП",(T33-50%)*2*1.5,IF(P33="",1+0.5*T$10,1.5*T$10)))))),"Веха не участвует в расчете выплат за квартал")),"")</f>
        <v>Веха не участвует в расчете выплат за квартал</v>
      </c>
      <c r="T33" s="74" t="str">
        <f aca="false">IFERROR(IF(ISTEXT(S33),"",IF(AND(OR(T$1="КУПК",T$1="КУПК (РП/ЗРП)"),S33&gt;0),IF($H33="","",CONCATENATE("Расчёт при NPV = ",TEXT(T$11,"# ##0 ₽"),". Коэф. фин. рез. = ",ROUND(T$10,2))),"")),"")</f>
        <v/>
      </c>
    </row>
    <row r="34" s="63" customFormat="true" ht="43.5" hidden="true" customHeight="true" outlineLevel="0" collapsed="false">
      <c r="A34" s="46"/>
      <c r="B34" s="46" t="str">
        <f aca="false">CONCATENATE(E34," ",F34)</f>
        <v> </v>
      </c>
      <c r="C34" s="64" t="n">
        <v>4</v>
      </c>
      <c r="D34" s="65" t="n">
        <f aca="false">D33+1</f>
        <v>19</v>
      </c>
      <c r="E34" s="66"/>
      <c r="F34" s="67"/>
      <c r="G34" s="68"/>
      <c r="H34" s="68"/>
      <c r="I34" s="65" t="str">
        <f aca="false">IF(H34="","",G34-H34)</f>
        <v/>
      </c>
      <c r="J34" s="69" t="str">
        <f aca="false">IF(H34="","",DATE(YEAR(H34),ROUNDUP(MONTH(H34)/3,0)*3+2,10))</f>
        <v/>
      </c>
      <c r="K34" s="70"/>
      <c r="L34" s="71"/>
      <c r="M34" s="72" t="str">
        <f aca="false" t="array" ref="M34:M34">IFERROR(  IF($E34="","",IF(AND($F$1="Да",$F$2=O$5),IF(COUNTIF($E$16:$E$35,"&lt;&gt;")=0,"Веха не участвует в расчете выплат за квартал",1/COUNTIF($E$16:$E$35,"&lt;&gt;")),IF(IF(K34="",$G34,K34)="", "Веха не участвует в расчете выплат за квартал", IF(INT(IF(K34="",$G34,K34))&lt;INT(O$5+60),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4" s="73" t="str">
        <f aca="false">IFERROR(IF($I34&lt;-100,0,IF(IF(AND($F$1="Да",$F$2=O$5),TRUE(),IF(K34="",$G34,K34)&gt;=O$5+60),IF($H34="","",IF(AND(O$1="МП",_xlfn.ISFORMULA(O34)),"Впиши средний KPI за прошлые кварталы",O$8*M34*IF(AND(OR(O$1="КУПК",O$1="РУПК"),$F$3="Да"),90%+10%*MAX(0,MIN(1,($G$3-40%)*2)),1)*MIN((1+IF(K34="",$I34,K34-$H34)*1%)*IF(O$1="РУПК",1,IF(O$1="МП",(O34-50%)*2,O$10)),IF(O$1="РУПК",1.5,IF(O$1="МП",(O34-50%)*2*1.5,IF(K34="",1+0.5*O$10,1.5*O$10)))))),"Веха не участвует в расчете выплат за квартал")),"")</f>
        <v>Веха не участвует в расчете выплат за квартал</v>
      </c>
      <c r="O34" s="74" t="str">
        <f aca="false">IFERROR(IF(ISTEXT(N34),"",IF(AND(OR(O$1="КУПК",O$1="КУПК (РП/ЗРП)"),N34&gt;0),IF($H34="","",CONCATENATE("Расчёт при NPV = ",TEXT(O$11,"# ##0 ₽"),". Коэф. фин. рез. = ",ROUND(O$10,2))),"")),"")</f>
        <v/>
      </c>
      <c r="P34" s="70"/>
      <c r="Q34" s="71"/>
      <c r="R34" s="72" t="str">
        <f aca="false" t="array" ref="R34:R34">IFERROR(  IF($E34="","",IF(AND($F$1="Да",$F$2=T$5),IF(COUNTIF($E$16:$E$35,"&lt;&gt;")=0,"Веха не участвует в расчете выплат за квартал",1/COUNTIF($E$16:$E$35,"&lt;&gt;")),IF(IF(P34="",$G34,P34)="", "Веха не участвует в расчете выплат за квартал", IF(INT(IF(P34="",$G34,P34))&lt;INT(T$5+60),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4" s="73" t="str">
        <f aca="false">IFERROR(IF($I34&lt;-100,0,IF(IF(AND($F$1="Да",$F$2=T$5),TRUE(),IF(P34="",$G34,P34)&gt;=T$5+60),IF($H34="","",IF(AND(T$1="МП",_xlfn.ISFORMULA(T34)),"Впиши средний KPI за прошлые кварталы",T$8*R34*IF(AND(OR(T$1="КУПК",T$1="РУПК"),$F$3="Да"),90%+10%*MAX(0,MIN(1,($G$3-40%)*2)),1)*MIN((1+IF(P34="",$I34,P34-$H34)*1%)*IF(T$1="РУПК",1,IF(T$1="МП",(T34-50%)*2,T$10)),IF(T$1="РУПК",1.5,IF(T$1="МП",(T34-50%)*2*1.5,IF(P34="",1+0.5*T$10,1.5*T$10)))))),"Веха не участвует в расчете выплат за квартал")),"")</f>
        <v>Веха не участвует в расчете выплат за квартал</v>
      </c>
      <c r="T34" s="74" t="str">
        <f aca="false">IFERROR(IF(ISTEXT(S34),"",IF(AND(OR(T$1="КУПК",T$1="КУПК (РП/ЗРП)"),S34&gt;0),IF($H34="","",CONCATENATE("Расчёт при NPV = ",TEXT(T$11,"# ##0 ₽"),". Коэф. фин. рез. = ",ROUND(T$10,2))),"")),"")</f>
        <v/>
      </c>
    </row>
    <row r="35" s="63" customFormat="true" ht="43.5" hidden="true" customHeight="true" outlineLevel="0" collapsed="false">
      <c r="A35" s="46"/>
      <c r="B35" s="46" t="str">
        <f aca="false">CONCATENATE(E35," ",F35)</f>
        <v> </v>
      </c>
      <c r="C35" s="64" t="n">
        <v>4</v>
      </c>
      <c r="D35" s="65" t="n">
        <f aca="false">D34+1</f>
        <v>20</v>
      </c>
      <c r="E35" s="66"/>
      <c r="F35" s="67"/>
      <c r="G35" s="68"/>
      <c r="H35" s="68"/>
      <c r="I35" s="65" t="str">
        <f aca="false">IF(H35="","",G35-H35)</f>
        <v/>
      </c>
      <c r="J35" s="69" t="str">
        <f aca="false">IF(H35="","",DATE(YEAR(H35),ROUNDUP(MONTH(H35)/3,0)*3+2,10))</f>
        <v/>
      </c>
      <c r="K35" s="70"/>
      <c r="L35" s="71"/>
      <c r="M35" s="72" t="str">
        <f aca="false" t="array" ref="M35:M35">IFERROR(  IF($E35="","",IF(AND($F$1="Да",$F$2=O$5),IF(COUNTIF($E$16:$E$35,"&lt;&gt;")=0,"Веха не участвует в расчете выплат за квартал",1/COUNTIF($E$16:$E$35,"&lt;&gt;")),IF(IF(K35="",$G35,K35)="", "Веха не участвует в расчете выплат за квартал", IF(INT(IF(K35="",$G35,K35))&lt;INT(O$5+60), "Веха не участвует в расчете выплат за квартал", IF(SUMPRODUCT(($E$16:$E$35&lt;&gt;"")*(IF(IF(K$16:K$35="",$G$16:$G$35,K$16:K$35)="",0,INT(IF(K$16:K$35="",$G$16:$G$35,K$16:K$35)))&gt;=INT(O$5+60)))=0,"Веха не участвует в расчете выплат за квартал",1/SUMPRODUCT(($E$16:$E$35&lt;&gt;"")*(IF(IF(K$16:K$35="",$G$16:$G$35,K$16:K$35)="",0,INT(IF(K$16:K$35="",$G$16:$G$35,K$16:K$35)))&gt;=INT(O$5+60)))))))),"")</f>
        <v/>
      </c>
      <c r="N35" s="73" t="str">
        <f aca="false">IFERROR(IF($I35&lt;-100,0,IF(IF(AND($F$1="Да",$F$2=O$5),TRUE(),IF(K35="",$G35,K35)&gt;=O$5+60),IF($H35="","",IF(AND(O$1="МП",_xlfn.ISFORMULA(O35)),"Впиши средний KPI за прошлые кварталы",O$8*M35*IF(AND(OR(O$1="КУПК",O$1="РУПК"),$F$3="Да"),90%+10%*MAX(0,MIN(1,($G$3-40%)*2)),1)*MIN((1+IF(K35="",$I35,K35-$H35)*1%)*IF(O$1="РУПК",1,IF(O$1="МП",(O35-50%)*2,O$10)),IF(O$1="РУПК",1.5,IF(O$1="МП",(O35-50%)*2*1.5,IF(K35="",1+0.5*O$10,1.5*O$10)))))),"Веха не участвует в расчете выплат за квартал")),"")</f>
        <v>Веха не участвует в расчете выплат за квартал</v>
      </c>
      <c r="O35" s="74" t="str">
        <f aca="false">IFERROR(IF(ISTEXT(N35),"",IF(AND(OR(O$1="КУПК",O$1="КУПК (РП/ЗРП)"),N35&gt;0),IF($H35="","",CONCATENATE("Расчёт при NPV = ",TEXT(O$11,"# ##0 ₽"),". Коэф. фин. рез. = ",ROUND(O$10,2))),"")),"")</f>
        <v/>
      </c>
      <c r="P35" s="70"/>
      <c r="Q35" s="71"/>
      <c r="R35" s="72" t="str">
        <f aca="false" t="array" ref="R35:R35">IFERROR(  IF($E35="","",IF(AND($F$1="Да",$F$2=T$5),IF(COUNTIF($E$16:$E$35,"&lt;&gt;")=0,"Веха не участвует в расчете выплат за квартал",1/COUNTIF($E$16:$E$35,"&lt;&gt;")),IF(IF(P35="",$G35,P35)="", "Веха не участвует в расчете выплат за квартал", IF(INT(IF(P35="",$G35,P35))&lt;INT(T$5+60), "Веха не участвует в расчете выплат за квартал", IF(SUMPRODUCT(($E$16:$E$35&lt;&gt;"")*(IF(IF(P$16:P$35="",$G$16:$G$35,P$16:P$35)="",0,INT(IF(P$16:P$35="",$G$16:$G$35,P$16:P$35)))&gt;=INT(T$5+60)))=0,"Веха не участвует в расчете выплат за квартал",1/SUMPRODUCT(($E$16:$E$35&lt;&gt;"")*(IF(IF(P$16:P$35="",$G$16:$G$35,P$16:P$35)="",0,INT(IF(P$16:P$35="",$G$16:$G$35,P$16:P$35)))&gt;=INT(T$5+60)))))))),"")</f>
        <v/>
      </c>
      <c r="S35" s="73" t="str">
        <f aca="false">IFERROR(IF($I35&lt;-100,0,IF(IF(AND($F$1="Да",$F$2=T$5),TRUE(),IF(P35="",$G35,P35)&gt;=T$5+60),IF($H35="","",IF(AND(T$1="МП",_xlfn.ISFORMULA(T35)),"Впиши средний KPI за прошлые кварталы",T$8*R35*IF(AND(OR(T$1="КУПК",T$1="РУПК"),$F$3="Да"),90%+10%*MAX(0,MIN(1,($G$3-40%)*2)),1)*MIN((1+IF(P35="",$I35,P35-$H35)*1%)*IF(T$1="РУПК",1,IF(T$1="МП",(T35-50%)*2,T$10)),IF(T$1="РУПК",1.5,IF(T$1="МП",(T35-50%)*2*1.5,IF(P35="",1+0.5*T$10,1.5*T$10)))))),"Веха не участвует в расчете выплат за квартал")),"")</f>
        <v>Веха не участвует в расчете выплат за квартал</v>
      </c>
      <c r="T35" s="74" t="str">
        <f aca="false">IFERROR(IF(ISTEXT(S35),"",IF(AND(OR(T$1="КУПК",T$1="КУПК (РП/ЗРП)"),S35&gt;0),IF($H35="","",CONCATENATE("Расчёт при NPV = ",TEXT(T$11,"# ##0 ₽"),". Коэф. фин. рез. = ",ROUND(T$10,2))),"")),"")</f>
        <v/>
      </c>
    </row>
    <row r="36" s="63" customFormat="true" ht="53.25" hidden="false" customHeight="true" outlineLevel="0" collapsed="false">
      <c r="A36" s="46"/>
      <c r="B36" s="46" t="str">
        <f aca="false">CONCATENATE(E36," ",F36)</f>
        <v>Ключевая веха этапа </v>
      </c>
      <c r="C36" s="75" t="n">
        <v>4</v>
      </c>
      <c r="D36" s="76"/>
      <c r="E36" s="77" t="s">
        <v>34</v>
      </c>
      <c r="F36" s="78"/>
      <c r="G36" s="79" t="n">
        <v>46295</v>
      </c>
      <c r="H36" s="79" t="n">
        <v>46385</v>
      </c>
      <c r="I36" s="76" t="n">
        <f aca="false">IF(H36="","",G36-H36)</f>
        <v>-90</v>
      </c>
      <c r="J36" s="80" t="n">
        <f aca="false">IF(H36="","",DATE(YEAR(H36),ROUNDUP(MONTH(H36)/3,0)*3+2,10))</f>
        <v>46428</v>
      </c>
      <c r="K36" s="81"/>
      <c r="L36" s="82"/>
      <c r="M36" s="83" t="s">
        <v>35</v>
      </c>
      <c r="N36" s="84" t="n">
        <f aca="false">IFERROR(IF(O$13="",IF($H36="","",IF(K36="",IF(O$1="МП",IF((O$7*IF(AND(OR(O$1="КУПК",O$1="РУПК"),$F$3="Да"),90%+10%*MAX(0,MIN(1,($G$3-40%)*2)),1))*(1+($I36*1%))*((AVERAGE(O$16:O35)-50%)*2)-SUM(N$16:N35)&lt;0,0,(O$7*IF(AND(OR(O$1="КУПК",O$1="РУПК"),$F$3="Да"),90%+10%*MAX(0,MIN(1,($G$3-40%)*2)),1))*(1+($I36*1%))*((AVERAGE(O$16:O35)-50%)*2)-SUM(N$16:N35)),IF(O$1="РУПК",IF((O$7*IF(AND(OR(O$1="КУПК",O$1="РУПК"),$F$3="Да"),90%+10%*MAX(0,MIN(1,($G$3-40%)*2)),1))*(1+($I36*1%))-SUM(N$16:N35)&lt;0,0,(O$7*IF(AND(OR(O$1="КУПК",O$1="РУПК"),$F$3="Да"),90%+10%*MAX(0,MIN(1,($G$3-40%)*2)),1))*(1+($I36*1%))-SUM(N$16:N35)),IF(OR(O$1="КУПК",O$1="КУПК (РП/ЗРП)"),IF((O$7*IF(AND(OR(O$1="КУПК",O$1="РУПК"),$F$3="Да"),90%+10%*MAX(0,MIN(1,($G$3-40%)*2)),1))*O$10*(1+($I36*1%))-SUM(N$16:N35)&lt;0,0,(O$7*IF(AND(OR(O$1="КУПК",O$1="РУПК"),$F$3="Да"),90%+10%*MAX(0,MIN(1,($G$3-40%)*2)),1))*O$10*(1+($I36*1%))-SUM(N$16:N35))))),IF(O$1="МП",IF((O$7*IF(AND(OR(O$1="КУПК",O$1="РУПК"),$F$3="Да"),90%+10%*MAX(0,MIN(1,($G$3-40%)*2)),1))*(1+((K36-$H36)*1%))*((AVERAGE(O$16:O35)-50%)*2)-SUM(N$16:N35)&lt;0,0,(O$7*IF(AND(OR(O$1="КУПК",O$1="РУПК"),$F$3="Да"),90%+10%*MAX(0,MIN(1,($G$3-40%)*2)),1))*(1+((K36-$H36)*1%))*((AVERAGE(O$16:O35)-50%)*2)-SUM(N$16:N35)),IF(O$1="РУПК",IF((O$7*IF(AND(OR(O$1="КУПК",O$1="РУПК"),$F$3="Да"),90%+10%*MAX(0,MIN(1,($G$3-40%)*2)),1))*(1+((K36-$H36)*1%))-SUM(N$16:N35)&lt;0,0,(O$7*IF(AND(OR(O$1="КУПК",O$1="РУПК"),$F$3="Да"),90%+10%*MAX(0,MIN(1,($G$3-40%)*2)),1))*(1+((K36-$H36)*1%))-SUM(N$16:N35)),IF(OR(O$1="КУПК",O$1="КУПК (РП/ЗРП)"),IF((O$7*IF(AND(OR(O$1="КУПК",O$1="РУПК"),$F$3="Да"),90%+10%*MAX(0,MIN(1,($G$3-40%)*2)),1))*O$10*(1+((K36-$H36)*1%))-SUM(N$16:N35)&lt;0,0,(O$7*IF(AND(OR(O$1="КУПК",O$1="РУПК"),$F$3="Да"),90%+10%*MAX(0,MIN(1,($G$3-40%)*2)),1))*O$10*(1+((K36-$H36)*1%))-SUM(N$16:N35))))))),O$13),"")</f>
        <v>0</v>
      </c>
      <c r="O36" s="85" t="str">
        <f aca="false">IFERROR(IF(ISTEXT(N36),"",IF(AND(OR(O$1="КУПК",O$1="КУПК (РП/ЗРП)"),N36&gt;0),IF($H36="","",CONCATENATE("Расчёт при NPV = ",TEXT(O$11,"# ##0 ₽"),". Коэф. фин. рез. = ",ROUND(O$10,2))),"")),"")</f>
        <v/>
      </c>
      <c r="P36" s="81"/>
      <c r="Q36" s="82"/>
      <c r="R36" s="83" t="s">
        <v>35</v>
      </c>
      <c r="S36" s="84" t="n">
        <f aca="false">IFERROR(IF(T$13="",IF($H36="","",IF(P36="",IF(T$1="МП",IF((T$7*IF(AND(OR(T$1="КУПК",T$1="РУПК"),$F$3="Да"),90%+10%*MAX(0,MIN(1,($G$3-40%)*2)),1))*(1+($I36*1%))*((AVERAGE(T$16:T35)-50%)*2)-SUM(S$16:S35)&lt;0,0,(T$7*IF(AND(OR(T$1="КУПК",T$1="РУПК"),$F$3="Да"),90%+10%*MAX(0,MIN(1,($G$3-40%)*2)),1))*(1+($I36*1%))*((AVERAGE(T$16:T35)-50%)*2)-SUM(S$16:S35)),IF(T$1="РУПК",IF((T$7*IF(AND(OR(T$1="КУПК",T$1="РУПК"),$F$3="Да"),90%+10%*MAX(0,MIN(1,($G$3-40%)*2)),1))*(1+($I36*1%))-SUM(S$16:S35)&lt;0,0,(T$7*IF(AND(OR(T$1="КУПК",T$1="РУПК"),$F$3="Да"),90%+10%*MAX(0,MIN(1,($G$3-40%)*2)),1))*(1+($I36*1%))-SUM(S$16:S35)),IF(OR(T$1="КУПК",T$1="КУПК (РП/ЗРП)"),IF((T$7*IF(AND(OR(T$1="КУПК",T$1="РУПК"),$F$3="Да"),90%+10%*MAX(0,MIN(1,($G$3-40%)*2)),1))*T$10*(1+($I36*1%))-SUM(S$16:S35)&lt;0,0,(T$7*IF(AND(OR(T$1="КУПК",T$1="РУПК"),$F$3="Да"),90%+10%*MAX(0,MIN(1,($G$3-40%)*2)),1))*T$10*(1+($I36*1%))-SUM(S$16:S35))))),IF(T$1="МП",IF((T$7*IF(AND(OR(T$1="КУПК",T$1="РУПК"),$F$3="Да"),90%+10%*MAX(0,MIN(1,($G$3-40%)*2)),1))*(1+((P36-$H36)*1%))*((AVERAGE(T$16:T35)-50%)*2)-SUM(S$16:S35)&lt;0,0,(T$7*IF(AND(OR(T$1="КУПК",T$1="РУПК"),$F$3="Да"),90%+10%*MAX(0,MIN(1,($G$3-40%)*2)),1))*(1+((P36-$H36)*1%))*((AVERAGE(T$16:T35)-50%)*2)-SUM(S$16:S35)),IF(T$1="РУПК",IF((T$7*IF(AND(OR(T$1="КУПК",T$1="РУПК"),$F$3="Да"),90%+10%*MAX(0,MIN(1,($G$3-40%)*2)),1))*(1+((P36-$H36)*1%))-SUM(S$16:S35)&lt;0,0,(T$7*IF(AND(OR(T$1="КУПК",T$1="РУПК"),$F$3="Да"),90%+10%*MAX(0,MIN(1,($G$3-40%)*2)),1))*(1+((P36-$H36)*1%))-SUM(S$16:S35)),IF(OR(T$1="КУПК",T$1="КУПК (РП/ЗРП)"),IF((T$7*IF(AND(OR(T$1="КУПК",T$1="РУПК"),$F$3="Да"),90%+10%*MAX(0,MIN(1,($G$3-40%)*2)),1))*T$10*(1+((P36-$H36)*1%))-SUM(S$16:S35)&lt;0,0,(T$7*IF(AND(OR(T$1="КУПК",T$1="РУПК"),$F$3="Да"),90%+10%*MAX(0,MIN(1,($G$3-40%)*2)),1))*T$10*(1+((P36-$H36)*1%))-SUM(S$16:S35))))))),T$13),"")</f>
        <v>0</v>
      </c>
      <c r="T36" s="85" t="str">
        <f aca="false">IFERROR(IF(ISTEXT(S36),"",IF(AND(OR(T$1="КУПК",T$1="КУПК (РП/ЗРП)"),S36&gt;0),IF($H36="","",CONCATENATE("Расчёт при NPV = ",TEXT(T$11,"# ##0 ₽"),". Коэф. фин. рез. = ",ROUND(T$10,2))),"")),"")</f>
        <v/>
      </c>
    </row>
    <row r="37" s="63" customFormat="true" ht="24.75" hidden="false" customHeight="true" outlineLevel="0" collapsed="false">
      <c r="A37" s="46"/>
      <c r="B37" s="86" t="str">
        <f aca="false">CONCATENATE(E37," ",F37)</f>
        <v>Финальная веха* </v>
      </c>
      <c r="C37" s="87"/>
      <c r="D37" s="88"/>
      <c r="E37" s="89" t="s">
        <v>36</v>
      </c>
      <c r="F37" s="89"/>
      <c r="G37" s="88"/>
      <c r="H37" s="90" t="n">
        <f aca="false">IF(H36="","",H36)</f>
        <v>46385</v>
      </c>
      <c r="I37" s="88"/>
      <c r="J37" s="91" t="n">
        <f aca="false">IF(H37="","",DATE(YEAR(H37),ROUNDUP(MONTH(H37)/3,0)*3+2,10))</f>
        <v>46428</v>
      </c>
      <c r="K37" s="92"/>
      <c r="L37" s="93"/>
      <c r="M37" s="94" t="s">
        <v>37</v>
      </c>
      <c r="N37" s="95" t="n">
        <f aca="false">IFERROR(IF(N$36&lt;0,0,IF($H36="","",IF(OR(O1="МП",O1="РУПК"),N36+VLOOKUP(O$3,'проценты на отложенную часть'!$B$6:$H$37,3,0),IF(O$37="","Зафиксируй NPV для расчета в комментарии!",IF(OR(O$1="КУПК (РП/ЗРП)",O$1="КУПК"),N36*50%+VLOOKUP(O$3,'проценты на отложенную часть'!$B$6:$H$37,4,0),""))))),"")</f>
        <v>167058.288459373</v>
      </c>
      <c r="O37" s="96"/>
      <c r="P37" s="92"/>
      <c r="Q37" s="93"/>
      <c r="R37" s="94" t="s">
        <v>37</v>
      </c>
      <c r="S37" s="95" t="str">
        <f aca="false">IFERROR(IF(S$36&lt;0,0,IF($H36="","",IF(OR(T1="МП",T1="РУПК"),S36+VLOOKUP(T$3,'проценты на отложенную часть'!$B$6:$H$37,3,0),IF(T$37="","Зафиксируй NPV для расчета в комментарии!",IF(OR(T$1="КУПК (РП/ЗРП)",T$1="КУПК"),S36*50%+VLOOKUP(T$3,'проценты на отложенную часть'!$B$6:$H$37,4,0),""))))),"")</f>
        <v>Зафиксируй NPV для расчета в комментарии!</v>
      </c>
      <c r="T37" s="96"/>
    </row>
    <row r="38" s="63" customFormat="true" ht="24.75" hidden="false" customHeight="true" outlineLevel="0" collapsed="false">
      <c r="A38" s="46"/>
      <c r="B38" s="86" t="str">
        <f aca="false">CONCATENATE(E38," ",F38)</f>
        <v>Финальная веха (25% ПБ)* </v>
      </c>
      <c r="C38" s="97"/>
      <c r="D38" s="98"/>
      <c r="E38" s="99" t="s">
        <v>38</v>
      </c>
      <c r="F38" s="100"/>
      <c r="G38" s="101" t="s">
        <v>39</v>
      </c>
      <c r="H38" s="102" t="n">
        <f aca="false">IF(H36="","",H36+90)</f>
        <v>46475</v>
      </c>
      <c r="I38" s="103"/>
      <c r="J38" s="104" t="n">
        <f aca="false">IF(H38="","",DATE(YEAR(H38),ROUNDUP(MONTH(H38)/3,0)*3+2,10))</f>
        <v>46517</v>
      </c>
      <c r="K38" s="105"/>
      <c r="L38" s="106"/>
      <c r="M38" s="107" t="str">
        <f aca="false">(IF(OR(O$1="КУПК",O$1="КУПК (РП/ЗРП)"),"К выплате с процентами:",""))</f>
        <v/>
      </c>
      <c r="N38" s="108" t="str">
        <f aca="false">IF(OR(O$1="МП",O1="РУПК"),"",IF(N$36="","",IF(N$36&lt;0,0,IF(O$38="","Зафиксируй NPV для расчета в комментарии!",IF(O$38&gt;O$37,N$36*25%+VLOOKUP(O$3,'проценты на отложенную часть'!$B$6:$H$37,5,0),"Выплаты приостановлены")))))</f>
        <v/>
      </c>
      <c r="O38" s="109"/>
      <c r="P38" s="105"/>
      <c r="Q38" s="106"/>
      <c r="R38" s="107" t="str">
        <f aca="false">(IF(OR(T$1="КУПК",T$1="КУПК (РП/ЗРП)"),"К выплате с процентами:",""))</f>
        <v/>
      </c>
      <c r="S38" s="108" t="str">
        <f aca="false">IF(OR(T$1="МП",T1="РУПК"),"",IF(S$36="","",IF(S$36&lt;0,0,IF(T$38="","Зафиксируй NPV для расчета в комментарии!",IF(T$38&gt;T$37,S$36*25%+VLOOKUP(T$3,'проценты на отложенную часть'!$B$6:$H$37,5,0),"Выплаты приостановлены")))))</f>
        <v>Зафиксируй NPV для расчета в комментарии!</v>
      </c>
      <c r="T38" s="109"/>
    </row>
    <row r="39" s="63" customFormat="true" ht="24.75" hidden="false" customHeight="true" outlineLevel="0" collapsed="false">
      <c r="A39" s="46"/>
      <c r="B39" s="86" t="str">
        <f aca="false">CONCATENATE(E39," ",F39)</f>
        <v>Финальная веха (25% ПБ) 2 часть * </v>
      </c>
      <c r="C39" s="110"/>
      <c r="D39" s="111"/>
      <c r="E39" s="112" t="s">
        <v>40</v>
      </c>
      <c r="F39" s="113"/>
      <c r="G39" s="114" t="s">
        <v>41</v>
      </c>
      <c r="H39" s="115" t="n">
        <f aca="false">IF(H36="","",H38+90)</f>
        <v>46565</v>
      </c>
      <c r="I39" s="111"/>
      <c r="J39" s="116" t="n">
        <f aca="false">IF(H39="","",DATE(YEAR(H39),ROUNDUP(MONTH(H39)/3,0)*3+2,10))</f>
        <v>46609</v>
      </c>
      <c r="K39" s="117"/>
      <c r="L39" s="118"/>
      <c r="M39" s="119" t="str">
        <f aca="false">(IF(OR(O$1="КУПК",O$1="КУПК (РП/ЗРП)"),"К выплате с процентами:",""))</f>
        <v/>
      </c>
      <c r="N39" s="120" t="str">
        <f aca="false">IF(OR(O1="МП",O1="РУПК"),"",IF(N$36="","",IF(N$36=0,VLOOKUP(O$3,'проценты на отложенную часть'!$B$6:$H$37,6,0),IF(O$39="","Зафиксируй NPV для расчета в комментарии!",IF(N$38="Выплаты приостановлены",IF(O$39&gt;O$37,N$36*25%+VLOOKUP(O$3,'проценты на отложенную часть'!$B$6:$H$37,5,0)+N$36*25%+VLOOKUP(O$3,'проценты на отложенную часть'!$B$6:$H$37,6,0),"Принять решение о перерасчете выплаченной части при падении NPV"),IF(O$39&gt;O$37,N$36*25%+VLOOKUP(O$3,'проценты на отложенную часть'!$B$6:$H$37,6,0),"Выплаты приостановлены"))))))</f>
        <v/>
      </c>
      <c r="O39" s="121"/>
      <c r="P39" s="117"/>
      <c r="Q39" s="118"/>
      <c r="R39" s="119" t="str">
        <f aca="false">(IF(OR(T$1="КУПК",T$1="КУПК (РП/ЗРП)"),"К выплате с процентами:",""))</f>
        <v/>
      </c>
      <c r="S39" s="120" t="str">
        <f aca="false">IF(OR(T1="МП",T1="РУПК"),"",IF(S$36="","",IF(S$36=0,VLOOKUP(T$3,'проценты на отложенную часть'!$B$6:$H$37,6,0),IF(T$39="","Зафиксируй NPV для расчета в комментарии!",IF(S$38="Выплаты приостановлены",IF(T$39&gt;T$37,S$36*25%+VLOOKUP(T$3,'проценты на отложенную часть'!$B$6:$H$37,5,0)+S$36*25%+VLOOKUP(T$3,'проценты на отложенную часть'!$B$6:$H$37,6,0),"Принять решение о перерасчете выплаченной части при падении NPV"),IF(T$39&gt;T$37,S$36*25%+VLOOKUP(T$3,'проценты на отложенную часть'!$B$6:$H$37,6,0),"Выплаты приостановлены"))))))</f>
        <v/>
      </c>
      <c r="T39" s="121"/>
    </row>
    <row r="41" customFormat="false" ht="25.5" hidden="false" customHeight="true" outlineLevel="0" collapsed="false">
      <c r="E41" s="122" t="s">
        <v>42</v>
      </c>
      <c r="M41" s="63"/>
      <c r="O41" s="20"/>
      <c r="R41" s="63"/>
      <c r="T41" s="20"/>
    </row>
    <row r="42" customFormat="false" ht="12.75" hidden="true" customHeight="false" outlineLevel="0" collapsed="false">
      <c r="E42" s="123"/>
    </row>
    <row r="43" customFormat="false" ht="12.75" hidden="true" customHeight="false" outlineLevel="0" collapsed="false"/>
    <row r="44" customFormat="false" ht="15" hidden="false" customHeight="true" outlineLevel="0" collapsed="false">
      <c r="K44" s="124" t="s">
        <v>43</v>
      </c>
      <c r="L44" s="124" t="s">
        <v>44</v>
      </c>
      <c r="M44" s="124" t="s">
        <v>45</v>
      </c>
      <c r="N44" s="124" t="s">
        <v>46</v>
      </c>
      <c r="O44" s="124" t="s">
        <v>47</v>
      </c>
      <c r="P44" s="124" t="s">
        <v>43</v>
      </c>
      <c r="Q44" s="124" t="s">
        <v>44</v>
      </c>
      <c r="R44" s="124" t="s">
        <v>45</v>
      </c>
      <c r="S44" s="124" t="s">
        <v>46</v>
      </c>
      <c r="T44" s="124" t="s">
        <v>47</v>
      </c>
    </row>
    <row r="45" customFormat="false" ht="15" hidden="false" customHeight="true" outlineLevel="0" collapsed="false">
      <c r="K45" s="125" t="n">
        <v>45748</v>
      </c>
      <c r="L45" s="125" t="n">
        <v>46295</v>
      </c>
      <c r="M45" s="126" t="n">
        <v>1</v>
      </c>
      <c r="N45" s="127" t="n">
        <v>2400000</v>
      </c>
      <c r="O45" s="127" t="n">
        <f aca="false">N45/365*(L45-K45+1)*M45</f>
        <v>3603287.67123288</v>
      </c>
      <c r="P45" s="125"/>
      <c r="Q45" s="125"/>
      <c r="R45" s="126"/>
      <c r="S45" s="127"/>
      <c r="T45" s="127" t="n">
        <f aca="false">S45/365*(Q45-P45+1)*R45</f>
        <v>0</v>
      </c>
    </row>
    <row r="46" customFormat="false" ht="15" hidden="false" customHeight="true" outlineLevel="0" collapsed="false">
      <c r="G46" s="128"/>
      <c r="H46" s="128"/>
      <c r="K46" s="125"/>
      <c r="L46" s="125"/>
      <c r="M46" s="126"/>
      <c r="N46" s="127"/>
      <c r="O46" s="127" t="n">
        <f aca="false">N46/365*(L46-K46+1)*M46</f>
        <v>0</v>
      </c>
      <c r="P46" s="125"/>
      <c r="Q46" s="125"/>
      <c r="R46" s="126"/>
      <c r="S46" s="127"/>
      <c r="T46" s="127"/>
    </row>
    <row r="47" customFormat="false" ht="15" hidden="false" customHeight="true" outlineLevel="0" collapsed="false">
      <c r="G47" s="128"/>
      <c r="H47" s="128"/>
      <c r="K47" s="125"/>
      <c r="L47" s="125"/>
      <c r="M47" s="126"/>
      <c r="N47" s="127"/>
      <c r="O47" s="127" t="n">
        <f aca="false">N47/365*(L47-K47+1)*M47</f>
        <v>0</v>
      </c>
      <c r="P47" s="125"/>
      <c r="Q47" s="125"/>
      <c r="R47" s="126"/>
      <c r="S47" s="127"/>
      <c r="T47" s="127"/>
    </row>
    <row r="48" customFormat="false" ht="15" hidden="false" customHeight="true" outlineLevel="0" collapsed="false">
      <c r="G48" s="128"/>
      <c r="H48" s="128"/>
      <c r="K48" s="125"/>
      <c r="L48" s="125"/>
      <c r="M48" s="126"/>
      <c r="N48" s="127"/>
      <c r="O48" s="127" t="n">
        <f aca="false">N48/365*(L48-K48+1)*M48</f>
        <v>0</v>
      </c>
      <c r="P48" s="125"/>
      <c r="Q48" s="125"/>
      <c r="R48" s="126"/>
      <c r="S48" s="127"/>
      <c r="T48" s="127"/>
    </row>
    <row r="49" customFormat="false" ht="15" hidden="false" customHeight="true" outlineLevel="0" collapsed="false">
      <c r="G49" s="128"/>
      <c r="H49" s="128"/>
      <c r="K49" s="125"/>
      <c r="L49" s="125"/>
      <c r="M49" s="126"/>
      <c r="N49" s="127"/>
      <c r="O49" s="127"/>
      <c r="P49" s="125"/>
      <c r="Q49" s="125"/>
      <c r="R49" s="126"/>
      <c r="S49" s="127"/>
      <c r="T49" s="127"/>
    </row>
    <row r="50" customFormat="false" ht="15" hidden="false" customHeight="true" outlineLevel="0" collapsed="false">
      <c r="K50" s="125"/>
      <c r="L50" s="125"/>
      <c r="M50" s="126"/>
      <c r="N50" s="127"/>
      <c r="O50" s="127"/>
      <c r="P50" s="125"/>
      <c r="Q50" s="125"/>
      <c r="R50" s="126"/>
      <c r="S50" s="127"/>
      <c r="T50" s="127"/>
    </row>
    <row r="51" customFormat="false" ht="15" hidden="false" customHeight="true" outlineLevel="0" collapsed="false">
      <c r="K51" s="125"/>
      <c r="L51" s="125"/>
      <c r="M51" s="126"/>
      <c r="N51" s="127"/>
      <c r="O51" s="127"/>
      <c r="P51" s="125"/>
      <c r="Q51" s="125"/>
      <c r="R51" s="126"/>
      <c r="S51" s="127"/>
      <c r="T51" s="127"/>
    </row>
    <row r="52" customFormat="false" ht="15" hidden="false" customHeight="true" outlineLevel="0" collapsed="false">
      <c r="K52" s="125"/>
      <c r="L52" s="125"/>
      <c r="M52" s="126"/>
      <c r="N52" s="127"/>
      <c r="O52" s="127"/>
      <c r="P52" s="125"/>
      <c r="Q52" s="125"/>
      <c r="R52" s="126"/>
      <c r="S52" s="127"/>
      <c r="T52" s="127"/>
    </row>
    <row r="53" customFormat="false" ht="15" hidden="false" customHeight="true" outlineLevel="0" collapsed="false">
      <c r="K53" s="125"/>
      <c r="L53" s="125"/>
      <c r="M53" s="126"/>
      <c r="N53" s="127"/>
      <c r="O53" s="127"/>
      <c r="P53" s="125"/>
      <c r="Q53" s="125"/>
      <c r="R53" s="126"/>
      <c r="S53" s="127"/>
      <c r="T53" s="127"/>
    </row>
    <row r="54" customFormat="false" ht="15" hidden="false" customHeight="true" outlineLevel="0" collapsed="false">
      <c r="K54" s="125"/>
      <c r="L54" s="125"/>
      <c r="M54" s="126"/>
      <c r="N54" s="127"/>
      <c r="O54" s="127"/>
      <c r="P54" s="125"/>
      <c r="Q54" s="125"/>
      <c r="R54" s="126"/>
      <c r="S54" s="127"/>
      <c r="T54" s="127"/>
    </row>
    <row r="55" customFormat="false" ht="15" hidden="false" customHeight="true" outlineLevel="0" collapsed="false">
      <c r="K55" s="125"/>
      <c r="L55" s="125"/>
      <c r="M55" s="126"/>
      <c r="N55" s="127"/>
      <c r="O55" s="127"/>
      <c r="P55" s="125"/>
      <c r="Q55" s="125"/>
      <c r="R55" s="126"/>
      <c r="S55" s="127"/>
      <c r="T55" s="127"/>
    </row>
    <row r="56" customFormat="false" ht="15" hidden="false" customHeight="true" outlineLevel="0" collapsed="false">
      <c r="K56" s="125"/>
      <c r="L56" s="125"/>
      <c r="M56" s="126"/>
      <c r="N56" s="127"/>
      <c r="O56" s="127"/>
      <c r="P56" s="125"/>
      <c r="Q56" s="125"/>
      <c r="R56" s="126"/>
      <c r="S56" s="127"/>
      <c r="T56" s="127"/>
    </row>
    <row r="57" customFormat="false" ht="15" hidden="false" customHeight="true" outlineLevel="0" collapsed="false">
      <c r="K57" s="125"/>
      <c r="L57" s="125"/>
      <c r="M57" s="126"/>
      <c r="N57" s="127"/>
      <c r="O57" s="127"/>
      <c r="P57" s="125"/>
      <c r="Q57" s="125"/>
      <c r="R57" s="126"/>
      <c r="S57" s="127"/>
      <c r="T57" s="127"/>
    </row>
    <row r="58" customFormat="false" ht="15" hidden="false" customHeight="true" outlineLevel="0" collapsed="false">
      <c r="K58" s="125"/>
      <c r="L58" s="125"/>
      <c r="M58" s="126"/>
      <c r="N58" s="127"/>
      <c r="O58" s="127"/>
      <c r="P58" s="125"/>
      <c r="Q58" s="125"/>
      <c r="R58" s="126"/>
      <c r="S58" s="127"/>
      <c r="T58" s="127"/>
    </row>
    <row r="59" customFormat="false" ht="15" hidden="false" customHeight="true" outlineLevel="0" collapsed="false">
      <c r="K59" s="125"/>
      <c r="L59" s="125"/>
      <c r="M59" s="126"/>
      <c r="N59" s="127"/>
      <c r="O59" s="127"/>
      <c r="P59" s="125"/>
      <c r="Q59" s="125"/>
      <c r="R59" s="126"/>
      <c r="S59" s="127"/>
      <c r="T59" s="127"/>
    </row>
    <row r="60" customFormat="false" ht="15" hidden="false" customHeight="true" outlineLevel="0" collapsed="false">
      <c r="K60" s="125"/>
      <c r="L60" s="125"/>
      <c r="M60" s="126"/>
      <c r="N60" s="127"/>
      <c r="O60" s="127"/>
      <c r="P60" s="125"/>
      <c r="Q60" s="125"/>
      <c r="R60" s="126"/>
      <c r="S60" s="127"/>
      <c r="T60" s="127"/>
    </row>
    <row r="61" customFormat="false" ht="15" hidden="false" customHeight="true" outlineLevel="0" collapsed="false">
      <c r="K61" s="125"/>
      <c r="L61" s="125"/>
      <c r="M61" s="126"/>
      <c r="N61" s="127"/>
      <c r="O61" s="127"/>
      <c r="P61" s="125"/>
      <c r="Q61" s="125"/>
      <c r="R61" s="126"/>
      <c r="S61" s="127"/>
      <c r="T61" s="127"/>
    </row>
    <row r="62" customFormat="false" ht="15" hidden="false" customHeight="true" outlineLevel="0" collapsed="false">
      <c r="K62" s="125"/>
      <c r="L62" s="125"/>
      <c r="M62" s="126"/>
      <c r="N62" s="127"/>
      <c r="O62" s="127"/>
      <c r="P62" s="125"/>
      <c r="Q62" s="125"/>
      <c r="R62" s="126"/>
      <c r="S62" s="127"/>
      <c r="T62" s="127"/>
    </row>
    <row r="63" customFormat="false" ht="15" hidden="false" customHeight="true" outlineLevel="0" collapsed="false">
      <c r="K63" s="125"/>
      <c r="L63" s="125"/>
      <c r="M63" s="126"/>
      <c r="N63" s="127"/>
      <c r="O63" s="127"/>
      <c r="P63" s="125"/>
      <c r="Q63" s="125"/>
      <c r="R63" s="126"/>
      <c r="S63" s="127"/>
      <c r="T63" s="127"/>
    </row>
    <row r="64" customFormat="false" ht="15" hidden="false" customHeight="true" outlineLevel="0" collapsed="false">
      <c r="K64" s="125"/>
      <c r="L64" s="125"/>
      <c r="M64" s="126"/>
      <c r="N64" s="127"/>
      <c r="O64" s="127"/>
      <c r="P64" s="125"/>
      <c r="Q64" s="125"/>
      <c r="R64" s="126"/>
      <c r="S64" s="127"/>
      <c r="T64" s="127"/>
    </row>
    <row r="65" customFormat="false" ht="15" hidden="false" customHeight="true" outlineLevel="0" collapsed="false">
      <c r="K65" s="125"/>
      <c r="L65" s="125"/>
      <c r="M65" s="126"/>
      <c r="N65" s="127"/>
      <c r="O65" s="127"/>
      <c r="P65" s="125"/>
      <c r="Q65" s="125"/>
      <c r="R65" s="126"/>
      <c r="S65" s="127"/>
      <c r="T65" s="127"/>
    </row>
    <row r="66" customFormat="false" ht="15" hidden="false" customHeight="true" outlineLevel="0" collapsed="false">
      <c r="K66" s="125"/>
      <c r="L66" s="125"/>
      <c r="M66" s="126"/>
      <c r="N66" s="127"/>
      <c r="O66" s="127"/>
      <c r="P66" s="125"/>
      <c r="Q66" s="125"/>
      <c r="R66" s="126"/>
      <c r="S66" s="127"/>
      <c r="T66" s="127"/>
    </row>
    <row r="67" customFormat="false" ht="15" hidden="false" customHeight="true" outlineLevel="0" collapsed="false">
      <c r="K67" s="125"/>
      <c r="L67" s="125"/>
      <c r="M67" s="126"/>
      <c r="N67" s="127"/>
      <c r="O67" s="127"/>
      <c r="P67" s="125"/>
      <c r="Q67" s="125"/>
      <c r="R67" s="126"/>
      <c r="S67" s="127"/>
      <c r="T67" s="127"/>
    </row>
    <row r="68" customFormat="false" ht="15" hidden="false" customHeight="true" outlineLevel="0" collapsed="false">
      <c r="K68" s="125"/>
      <c r="L68" s="125"/>
      <c r="M68" s="126"/>
      <c r="N68" s="127"/>
      <c r="O68" s="127"/>
      <c r="P68" s="125"/>
      <c r="Q68" s="125"/>
      <c r="R68" s="126"/>
      <c r="S68" s="127"/>
      <c r="T68" s="127"/>
    </row>
    <row r="69" customFormat="false" ht="15" hidden="false" customHeight="true" outlineLevel="0" collapsed="false">
      <c r="K69" s="125"/>
      <c r="L69" s="125"/>
      <c r="M69" s="126"/>
      <c r="N69" s="127"/>
      <c r="O69" s="127"/>
      <c r="P69" s="125"/>
      <c r="Q69" s="125"/>
      <c r="R69" s="126"/>
      <c r="S69" s="127"/>
      <c r="T69" s="127"/>
    </row>
    <row r="70" customFormat="false" ht="15" hidden="false" customHeight="true" outlineLevel="0" collapsed="false">
      <c r="K70" s="125"/>
      <c r="L70" s="125"/>
      <c r="M70" s="126"/>
      <c r="N70" s="127"/>
      <c r="O70" s="127"/>
      <c r="P70" s="125"/>
      <c r="Q70" s="125"/>
      <c r="R70" s="126"/>
      <c r="S70" s="127"/>
      <c r="T70" s="127"/>
    </row>
    <row r="71" customFormat="false" ht="15" hidden="false" customHeight="true" outlineLevel="0" collapsed="false">
      <c r="K71" s="125"/>
      <c r="L71" s="125"/>
      <c r="M71" s="126"/>
      <c r="N71" s="127"/>
      <c r="O71" s="127"/>
      <c r="P71" s="125"/>
      <c r="Q71" s="125"/>
      <c r="R71" s="126"/>
      <c r="S71" s="127"/>
      <c r="T71" s="127"/>
    </row>
    <row r="72" customFormat="false" ht="15" hidden="false" customHeight="true" outlineLevel="0" collapsed="false">
      <c r="K72" s="125"/>
      <c r="L72" s="125"/>
      <c r="M72" s="126"/>
      <c r="N72" s="127"/>
      <c r="O72" s="127"/>
      <c r="P72" s="125"/>
      <c r="Q72" s="125"/>
      <c r="R72" s="126"/>
      <c r="S72" s="127"/>
      <c r="T72" s="127"/>
    </row>
    <row r="73" customFormat="false" ht="15" hidden="false" customHeight="true" outlineLevel="0" collapsed="false">
      <c r="K73" s="125"/>
      <c r="L73" s="125"/>
      <c r="M73" s="126"/>
      <c r="N73" s="127"/>
      <c r="O73" s="127"/>
      <c r="P73" s="125"/>
      <c r="Q73" s="125"/>
      <c r="R73" s="126"/>
      <c r="S73" s="127"/>
      <c r="T73" s="127"/>
    </row>
    <row r="74" customFormat="false" ht="15" hidden="false" customHeight="true" outlineLevel="0" collapsed="false">
      <c r="K74" s="125"/>
      <c r="L74" s="125"/>
      <c r="M74" s="126"/>
      <c r="N74" s="127"/>
      <c r="O74" s="127"/>
      <c r="P74" s="125"/>
      <c r="Q74" s="125"/>
      <c r="R74" s="126"/>
      <c r="S74" s="127"/>
      <c r="T74" s="127"/>
    </row>
    <row r="75" customFormat="false" ht="15" hidden="false" customHeight="true" outlineLevel="0" collapsed="false">
      <c r="K75" s="125"/>
      <c r="L75" s="125"/>
      <c r="M75" s="126"/>
      <c r="N75" s="127"/>
      <c r="O75" s="127"/>
      <c r="P75" s="125"/>
      <c r="Q75" s="125"/>
      <c r="R75" s="126"/>
      <c r="S75" s="127"/>
      <c r="T75" s="127"/>
    </row>
    <row r="76" customFormat="false" ht="15" hidden="false" customHeight="true" outlineLevel="0" collapsed="false">
      <c r="K76" s="125"/>
      <c r="L76" s="125"/>
      <c r="M76" s="126"/>
      <c r="N76" s="127"/>
      <c r="O76" s="127"/>
      <c r="P76" s="125"/>
      <c r="Q76" s="125"/>
      <c r="R76" s="126"/>
      <c r="S76" s="127"/>
      <c r="T76" s="127"/>
    </row>
    <row r="77" customFormat="false" ht="15" hidden="false" customHeight="true" outlineLevel="0" collapsed="false">
      <c r="K77" s="125"/>
      <c r="L77" s="125"/>
      <c r="M77" s="126"/>
      <c r="N77" s="127"/>
      <c r="O77" s="127"/>
      <c r="P77" s="125"/>
      <c r="Q77" s="125"/>
      <c r="R77" s="126"/>
      <c r="S77" s="127"/>
      <c r="T77" s="127"/>
    </row>
    <row r="78" customFormat="false" ht="15" hidden="false" customHeight="true" outlineLevel="0" collapsed="false">
      <c r="K78" s="125"/>
      <c r="L78" s="125"/>
      <c r="M78" s="126"/>
      <c r="N78" s="127"/>
      <c r="O78" s="127"/>
      <c r="P78" s="125"/>
      <c r="Q78" s="125"/>
      <c r="R78" s="126"/>
      <c r="S78" s="127"/>
      <c r="T78" s="127"/>
    </row>
    <row r="79" customFormat="false" ht="15" hidden="false" customHeight="true" outlineLevel="0" collapsed="false">
      <c r="K79" s="125"/>
      <c r="L79" s="125"/>
      <c r="M79" s="126"/>
      <c r="N79" s="127"/>
      <c r="O79" s="127"/>
      <c r="P79" s="125"/>
      <c r="Q79" s="125"/>
      <c r="R79" s="126"/>
      <c r="S79" s="127"/>
      <c r="T79" s="127"/>
    </row>
  </sheetData>
  <mergeCells count="26">
    <mergeCell ref="K1:N2"/>
    <mergeCell ref="P1:S2"/>
    <mergeCell ref="K3:N3"/>
    <mergeCell ref="P3:S3"/>
    <mergeCell ref="K4:N4"/>
    <mergeCell ref="P4:S4"/>
    <mergeCell ref="K5:N5"/>
    <mergeCell ref="P5:S5"/>
    <mergeCell ref="K6:N6"/>
    <mergeCell ref="P6:S6"/>
    <mergeCell ref="K7:N7"/>
    <mergeCell ref="P7:S7"/>
    <mergeCell ref="K8:N8"/>
    <mergeCell ref="P8:S8"/>
    <mergeCell ref="K9:N9"/>
    <mergeCell ref="P9:S9"/>
    <mergeCell ref="K10:N10"/>
    <mergeCell ref="P10:S10"/>
    <mergeCell ref="K11:N11"/>
    <mergeCell ref="P11:S11"/>
    <mergeCell ref="K12:N12"/>
    <mergeCell ref="P12:S12"/>
    <mergeCell ref="K13:N13"/>
    <mergeCell ref="P13:S13"/>
    <mergeCell ref="K14:N14"/>
    <mergeCell ref="P14:S14"/>
  </mergeCells>
  <conditionalFormatting sqref="F3">
    <cfRule type="containsText" priority="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NPV",F3)))</formula>
    </cfRule>
    <cfRule type="containsText" priority="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комментарии!",F3)))</formula>
    </cfRule>
    <cfRule type="containsText" priority="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квартал",F3)))</formula>
    </cfRule>
  </conditionalFormatting>
  <conditionalFormatting sqref="O11">
    <cfRule type="containsText" priority="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NPV",O11)))</formula>
    </cfRule>
    <cfRule type="containsText" priority="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комментарии!",O11)))</formula>
    </cfRule>
    <cfRule type="containsText" priority="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квартал",O11)))</formula>
    </cfRule>
  </conditionalFormatting>
  <conditionalFormatting sqref="T10:T11">
    <cfRule type="containsText" priority="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NPV",T10)))</formula>
    </cfRule>
    <cfRule type="containsText" priority="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комментарии!",T10)))</formula>
    </cfRule>
    <cfRule type="containsText" priority="1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квартал",T10)))</formula>
    </cfRule>
  </conditionalFormatting>
  <conditionalFormatting sqref="T4">
    <cfRule type="containsText" priority="1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NPV",T4)))</formula>
    </cfRule>
    <cfRule type="containsText" priority="1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комментарии!",T4)))</formula>
    </cfRule>
    <cfRule type="containsText" priority="1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квартал",T4)))</formula>
    </cfRule>
  </conditionalFormatting>
  <conditionalFormatting sqref="S17:S35">
    <cfRule type="containsText" priority="1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NPV",S17)))</formula>
    </cfRule>
    <cfRule type="containsText" priority="1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комментарии!",S17)))</formula>
    </cfRule>
    <cfRule type="containsText" priority="1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квартал",S17)))</formula>
    </cfRule>
  </conditionalFormatting>
  <conditionalFormatting sqref="T17:T35">
    <cfRule type="containsText" priority="1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NPV",T17)))</formula>
    </cfRule>
    <cfRule type="containsText" priority="1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комментарии!",T17)))</formula>
    </cfRule>
    <cfRule type="containsText" priority="1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квартал",T17)))</formula>
    </cfRule>
  </conditionalFormatting>
  <conditionalFormatting sqref="P11:S11">
    <cfRule type="containsText" priority="2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NPV",P11)))</formula>
    </cfRule>
    <cfRule type="containsText" priority="2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комментарии!",P11)))</formula>
    </cfRule>
    <cfRule type="containsText" priority="2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квартал",P11)))</formula>
    </cfRule>
  </conditionalFormatting>
  <conditionalFormatting sqref="Q16:Q35">
    <cfRule type="containsText" priority="2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NPV",Q16)))</formula>
    </cfRule>
    <cfRule type="containsText" priority="2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комментарии!",Q16)))</formula>
    </cfRule>
    <cfRule type="containsText" priority="2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квартал",Q16)))</formula>
    </cfRule>
  </conditionalFormatting>
  <conditionalFormatting sqref="S16">
    <cfRule type="containsText" priority="2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NPV",S16)))</formula>
    </cfRule>
    <cfRule type="containsText" priority="2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комментарии!",S16)))</formula>
    </cfRule>
    <cfRule type="containsText" priority="2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квартал",S16)))</formula>
    </cfRule>
  </conditionalFormatting>
  <conditionalFormatting sqref="P16:P35 R16:R35 T16">
    <cfRule type="containsText" priority="2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NPV",P16)))</formula>
    </cfRule>
    <cfRule type="containsText" priority="3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комментарии!",P16)))</formula>
    </cfRule>
    <cfRule type="containsText" priority="3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квартал",P16)))</formula>
    </cfRule>
  </conditionalFormatting>
  <conditionalFormatting sqref="Q15">
    <cfRule type="containsText" priority="3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NPV",Q15)))</formula>
    </cfRule>
    <cfRule type="containsText" priority="3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комментарии!",Q15)))</formula>
    </cfRule>
    <cfRule type="containsText" priority="3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квартал",Q15)))</formula>
    </cfRule>
  </conditionalFormatting>
  <conditionalFormatting sqref="R15">
    <cfRule type="containsText" priority="3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NPV",R15)))</formula>
    </cfRule>
    <cfRule type="containsText" priority="3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комментарии!",R15)))</formula>
    </cfRule>
    <cfRule type="containsText" priority="3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квартал",R15)))</formula>
    </cfRule>
  </conditionalFormatting>
  <conditionalFormatting sqref="S15">
    <cfRule type="containsText" priority="3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NPV",S15)))</formula>
    </cfRule>
    <cfRule type="containsText" priority="3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комментарии!",S15)))</formula>
    </cfRule>
    <cfRule type="containsText" priority="4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квартал",S15)))</formula>
    </cfRule>
  </conditionalFormatting>
  <conditionalFormatting sqref="P15 T15">
    <cfRule type="containsText" priority="4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NPV",P15)))</formula>
    </cfRule>
    <cfRule type="containsText" priority="4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комментарии!",P15)))</formula>
    </cfRule>
    <cfRule type="containsText" priority="4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квартал",P15)))</formula>
    </cfRule>
  </conditionalFormatting>
  <conditionalFormatting sqref="S36">
    <cfRule type="containsText" priority="4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NPV",S36)))</formula>
    </cfRule>
    <cfRule type="containsText" priority="4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комментарии!",S36)))</formula>
    </cfRule>
    <cfRule type="containsText" priority="4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квартал",S36)))</formula>
    </cfRule>
  </conditionalFormatting>
  <conditionalFormatting sqref="P13:Q13">
    <cfRule type="containsText" priority="4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NPV",P13)))</formula>
    </cfRule>
    <cfRule type="containsText" priority="4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комментарии!",P13)))</formula>
    </cfRule>
    <cfRule type="containsText" priority="4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квартал",P13)))</formula>
    </cfRule>
  </conditionalFormatting>
  <conditionalFormatting sqref="T12">
    <cfRule type="containsText" priority="5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NPV",T12)))</formula>
    </cfRule>
    <cfRule type="containsText" priority="5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комментарии!",T12)))</formula>
    </cfRule>
    <cfRule type="containsText" priority="5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квартал",T12)))</formula>
    </cfRule>
  </conditionalFormatting>
  <conditionalFormatting sqref="R36:R39">
    <cfRule type="containsText" priority="5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NPV",R36)))</formula>
    </cfRule>
    <cfRule type="containsText" priority="5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комментарии!",R36)))</formula>
    </cfRule>
    <cfRule type="containsText" priority="5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квартал",R36)))</formula>
    </cfRule>
  </conditionalFormatting>
  <conditionalFormatting sqref="P1:T3 P4:S4 P5:T9 P10:S10 P14:T14 P36:Q39 P40:T40 P41:Q41 P42:T43 P90:T1048576 S37:T39 S41:T41 T13 T36">
    <cfRule type="containsText" priority="5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NPV",P1)))</formula>
    </cfRule>
    <cfRule type="containsText" priority="5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комментарии!",P1)))</formula>
    </cfRule>
    <cfRule type="containsText" priority="5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квартал",P1)))</formula>
    </cfRule>
  </conditionalFormatting>
  <conditionalFormatting sqref="N17:N35">
    <cfRule type="containsText" priority="5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NPV",N17)))</formula>
    </cfRule>
    <cfRule type="containsText" priority="6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комментарии!",N17)))</formula>
    </cfRule>
    <cfRule type="containsText" priority="6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квартал",N17)))</formula>
    </cfRule>
  </conditionalFormatting>
  <conditionalFormatting sqref="O17:O35">
    <cfRule type="containsText" priority="6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NPV",O17)))</formula>
    </cfRule>
    <cfRule type="containsText" priority="6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комментарии!",O17)))</formula>
    </cfRule>
    <cfRule type="containsText" priority="6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квартал",O17)))</formula>
    </cfRule>
  </conditionalFormatting>
  <conditionalFormatting sqref="F1:F2">
    <cfRule type="containsText" priority="6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NPV",F1)))</formula>
    </cfRule>
    <cfRule type="containsText" priority="6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комментарии!",F1)))</formula>
    </cfRule>
    <cfRule type="containsText" priority="6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квартал",F1)))</formula>
    </cfRule>
  </conditionalFormatting>
  <conditionalFormatting sqref="K11:N11">
    <cfRule type="containsText" priority="6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NPV",K11)))</formula>
    </cfRule>
    <cfRule type="containsText" priority="6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комментарии!",K11)))</formula>
    </cfRule>
    <cfRule type="containsText" priority="7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квартал",K11)))</formula>
    </cfRule>
  </conditionalFormatting>
  <conditionalFormatting sqref="L16:L35">
    <cfRule type="containsText" priority="7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NPV",L16)))</formula>
    </cfRule>
    <cfRule type="containsText" priority="7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комментарии!",L16)))</formula>
    </cfRule>
    <cfRule type="containsText" priority="7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квартал",L16)))</formula>
    </cfRule>
  </conditionalFormatting>
  <conditionalFormatting sqref="N16">
    <cfRule type="containsText" priority="74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NPV",N16)))</formula>
    </cfRule>
    <cfRule type="containsText" priority="75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комментарии!",N16)))</formula>
    </cfRule>
    <cfRule type="containsText" priority="76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квартал",N16)))</formula>
    </cfRule>
  </conditionalFormatting>
  <conditionalFormatting sqref="K16:K35 M16:M35 O16">
    <cfRule type="containsText" priority="77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NPV",K16)))</formula>
    </cfRule>
    <cfRule type="containsText" priority="78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комментарии!",K16)))</formula>
    </cfRule>
    <cfRule type="containsText" priority="79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квартал",K16)))</formula>
    </cfRule>
  </conditionalFormatting>
  <conditionalFormatting sqref="L15">
    <cfRule type="containsText" priority="80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NPV",L15)))</formula>
    </cfRule>
    <cfRule type="containsText" priority="81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комментарии!",L15)))</formula>
    </cfRule>
    <cfRule type="containsText" priority="82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квартал",L15)))</formula>
    </cfRule>
  </conditionalFormatting>
  <conditionalFormatting sqref="M15">
    <cfRule type="containsText" priority="83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NPV",M15)))</formula>
    </cfRule>
    <cfRule type="containsText" priority="84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комментарии!",M15)))</formula>
    </cfRule>
    <cfRule type="containsText" priority="85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квартал",M15)))</formula>
    </cfRule>
  </conditionalFormatting>
  <conditionalFormatting sqref="N15">
    <cfRule type="containsText" priority="86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NPV",N15)))</formula>
    </cfRule>
    <cfRule type="containsText" priority="87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комментарии!",N15)))</formula>
    </cfRule>
    <cfRule type="containsText" priority="88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квартал",N15)))</formula>
    </cfRule>
  </conditionalFormatting>
  <conditionalFormatting sqref="K15 O15">
    <cfRule type="containsText" priority="8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NPV",K15)))</formula>
    </cfRule>
    <cfRule type="containsText" priority="9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комментарии!",K15)))</formula>
    </cfRule>
    <cfRule type="containsText" priority="9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квартал",K15)))</formula>
    </cfRule>
  </conditionalFormatting>
  <conditionalFormatting sqref="O4">
    <cfRule type="containsText" priority="92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NPV",O4)))</formula>
    </cfRule>
    <cfRule type="containsText" priority="93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комментарии!",O4)))</formula>
    </cfRule>
    <cfRule type="containsText" priority="94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квартал",O4)))</formula>
    </cfRule>
  </conditionalFormatting>
  <conditionalFormatting sqref="N36">
    <cfRule type="containsText" priority="9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NPV",N36)))</formula>
    </cfRule>
    <cfRule type="containsText" priority="9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комментарии!",N36)))</formula>
    </cfRule>
    <cfRule type="containsText" priority="9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квартал",N36)))</formula>
    </cfRule>
  </conditionalFormatting>
  <conditionalFormatting sqref="K13:L13">
    <cfRule type="containsText" priority="98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NPV",K13)))</formula>
    </cfRule>
    <cfRule type="containsText" priority="99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комментарии!",K13)))</formula>
    </cfRule>
    <cfRule type="containsText" priority="100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квартал",K13)))</formula>
    </cfRule>
  </conditionalFormatting>
  <conditionalFormatting sqref="O12">
    <cfRule type="containsText" priority="101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NPV",O12)))</formula>
    </cfRule>
    <cfRule type="containsText" priority="102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комментарии!",O12)))</formula>
    </cfRule>
    <cfRule type="containsText" priority="103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квартал",O12)))</formula>
    </cfRule>
  </conditionalFormatting>
  <conditionalFormatting sqref="A12">
    <cfRule type="containsText" priority="104" operator="containsText" aboveAverage="0" equalAverage="0" bottom="0" percent="0" rank="0" text="флаг" dxfId="3">
      <formula>NOT(ISERROR(SEARCH("флаг",A12)))</formula>
    </cfRule>
  </conditionalFormatting>
  <conditionalFormatting sqref="M36:M39">
    <cfRule type="containsText" priority="105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NPV",M36)))</formula>
    </cfRule>
    <cfRule type="containsText" priority="106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комментарии!",M36)))</formula>
    </cfRule>
    <cfRule type="containsText" priority="107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квартал",M36)))</formula>
    </cfRule>
  </conditionalFormatting>
  <conditionalFormatting sqref="A43:A51">
    <cfRule type="containsText" priority="108" operator="containsText" aboveAverage="0" equalAverage="0" bottom="0" percent="0" rank="0" text="флаг" dxfId="3">
      <formula>NOT(ISERROR(SEARCH("флаг",A43)))</formula>
    </cfRule>
  </conditionalFormatting>
  <conditionalFormatting sqref="K1:O3 K4:N4 K5:O10 K14:O14 K36:L39 K40:O40 K41:L41 K42:O43 K90:O1048576 N37:O39 N41:O41 O13 O36">
    <cfRule type="containsText" priority="109" operator="containsText" aboveAverage="0" equalAverage="0" bottom="0" percent="0" rank="0" text="Принять решение о перерасчете выплаченной части при падении NPV" dxfId="0">
      <formula>NOT(ISERROR(SEARCH("Принять решение о перерасчете выплаченной части при падении NPV",K1)))</formula>
    </cfRule>
    <cfRule type="containsText" priority="110" operator="containsText" aboveAverage="0" equalAverage="0" bottom="0" percent="0" rank="0" text="Зафиксируй NPV для расчета в комментарии!" dxfId="1">
      <formula>NOT(ISERROR(SEARCH("Зафиксируй NPV для расчета в комментарии!",K1)))</formula>
    </cfRule>
    <cfRule type="containsText" priority="111" operator="containsText" aboveAverage="0" equalAverage="0" bottom="0" percent="0" rank="0" text="Веха не участвует в расчете выплат за квартал" dxfId="2">
      <formula>NOT(ISERROR(SEARCH("Веха не участвует в расчете выплат за квартал",K1)))</formula>
    </cfRule>
  </conditionalFormatting>
  <conditionalFormatting sqref="A1:A11 A13:A14 A40:A42 A52:A1048576">
    <cfRule type="containsText" priority="112" operator="containsText" aboveAverage="0" equalAverage="0" bottom="0" percent="0" rank="0" text="флаг" dxfId="3">
      <formula>NOT(ISERROR(SEARCH("флаг",A1)))</formula>
    </cfRule>
  </conditionalFormatting>
  <dataValidations count="2">
    <dataValidation allowBlank="true" errorStyle="stop" operator="between" showDropDown="false" showErrorMessage="true" showInputMessage="true" sqref="F1 F3" type="list">
      <formula1>"Да,Нет"</formula1>
      <formula2>0</formula2>
    </dataValidation>
    <dataValidation allowBlank="false" errorStyle="stop" operator="between" showDropDown="false" showErrorMessage="true" showInputMessage="true" sqref="K12:N12 P12:S12" type="list">
      <formula1>"Дата ухода с проекта (этапа),Дата перевода с проекта (этапа),"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Y139"/>
  <sheetViews>
    <sheetView showFormulas="false" showGridLines="true" showRowColHeaders="true" showZeros="true" rightToLeft="false" tabSelected="false" showOutlineSymbols="true" defaultGridColor="true" view="normal" topLeftCell="A28" colorId="64" zoomScale="73" zoomScaleNormal="73" zoomScalePageLayoutView="100" workbookViewId="0">
      <selection pane="topLeft" activeCell="D16" activeCellId="0" sqref="D16"/>
    </sheetView>
  </sheetViews>
  <sheetFormatPr defaultColWidth="9.1484375" defaultRowHeight="15" zeroHeight="false" outlineLevelRow="0" outlineLevelCol="0"/>
  <cols>
    <col collapsed="false" customWidth="false" hidden="false" outlineLevel="0" max="1" min="1" style="129" width="9.14"/>
    <col collapsed="false" customWidth="true" hidden="false" outlineLevel="0" max="2" min="2" style="129" width="78.85"/>
    <col collapsed="false" customWidth="true" hidden="false" outlineLevel="0" max="3" min="3" style="129" width="27.71"/>
    <col collapsed="false" customWidth="true" hidden="false" outlineLevel="0" max="4" min="4" style="129" width="16.43"/>
    <col collapsed="false" customWidth="true" hidden="false" outlineLevel="0" max="5" min="5" style="129" width="18.42"/>
    <col collapsed="false" customWidth="true" hidden="false" outlineLevel="0" max="6" min="6" style="129" width="14.29"/>
    <col collapsed="false" customWidth="true" hidden="false" outlineLevel="0" max="7" min="7" style="129" width="18.57"/>
    <col collapsed="false" customWidth="true" hidden="false" outlineLevel="0" max="9" min="8" style="129" width="13.29"/>
    <col collapsed="false" customWidth="true" hidden="false" outlineLevel="0" max="10" min="10" style="129" width="16"/>
    <col collapsed="false" customWidth="true" hidden="false" outlineLevel="0" max="11" min="11" style="130" width="14"/>
    <col collapsed="false" customWidth="true" hidden="false" outlineLevel="0" max="12" min="12" style="130" width="13.29"/>
    <col collapsed="false" customWidth="true" hidden="false" outlineLevel="0" max="13" min="13" style="130" width="14"/>
    <col collapsed="false" customWidth="true" hidden="false" outlineLevel="0" max="14" min="14" style="129" width="12.15"/>
    <col collapsed="false" customWidth="true" hidden="false" outlineLevel="0" max="15" min="15" style="129" width="13.29"/>
    <col collapsed="false" customWidth="true" hidden="false" outlineLevel="0" max="16" min="16" style="129" width="13.57"/>
    <col collapsed="false" customWidth="true" hidden="false" outlineLevel="0" max="17" min="17" style="129" width="14.71"/>
    <col collapsed="false" customWidth="true" hidden="false" outlineLevel="0" max="19" min="18" style="130" width="14.71"/>
    <col collapsed="false" customWidth="true" hidden="false" outlineLevel="0" max="20" min="20" style="129" width="14.71"/>
    <col collapsed="false" customWidth="true" hidden="false" outlineLevel="0" max="22" min="21" style="130" width="14.71"/>
    <col collapsed="false" customWidth="true" hidden="false" outlineLevel="0" max="23" min="23" style="129" width="14.71"/>
    <col collapsed="false" customWidth="true" hidden="false" outlineLevel="0" max="25" min="24" style="130" width="14.71"/>
    <col collapsed="false" customWidth="false" hidden="false" outlineLevel="0" max="16384" min="26" style="129" width="9.14"/>
  </cols>
  <sheetData>
    <row r="1" customFormat="false" ht="26.25" hidden="false" customHeight="true" outlineLevel="0" collapsed="false">
      <c r="B1" s="131" t="s">
        <v>48</v>
      </c>
    </row>
    <row r="2" customFormat="false" ht="26.25" hidden="false" customHeight="true" outlineLevel="0" collapsed="false">
      <c r="B2" s="131"/>
    </row>
    <row r="3" customFormat="false" ht="15" hidden="false" customHeight="false" outlineLevel="0" collapsed="false">
      <c r="B3" s="132" t="n">
        <v>0</v>
      </c>
    </row>
    <row r="4" customFormat="false" ht="15" hidden="false" customHeight="false" outlineLevel="0" collapsed="false">
      <c r="B4" s="129" t="n">
        <v>1</v>
      </c>
      <c r="K4" s="133"/>
      <c r="L4" s="133"/>
      <c r="M4" s="133"/>
    </row>
    <row r="5" customFormat="false" ht="15" hidden="false" customHeight="false" outlineLevel="0" collapsed="false">
      <c r="B5" s="134" t="s">
        <v>9</v>
      </c>
      <c r="C5" s="134" t="s">
        <v>4</v>
      </c>
      <c r="D5" s="135" t="n">
        <v>1</v>
      </c>
      <c r="E5" s="135" t="n">
        <v>0.5</v>
      </c>
      <c r="F5" s="135" t="n">
        <v>0.25</v>
      </c>
      <c r="G5" s="135" t="n">
        <v>0.25</v>
      </c>
      <c r="H5" s="135" t="s">
        <v>49</v>
      </c>
    </row>
    <row r="6" customFormat="false" ht="27.75" hidden="false" customHeight="true" outlineLevel="0" collapsed="false">
      <c r="B6" s="136" t="str">
        <f aca="false" t="array" ref="B6:B6">IFERROR(INDEX(калькулятор!$K$3:$OJ$3,SMALL(IF(COUNTIF($B$3:B5,калькулятор!$K$3:$OJ$3)=0,COLUMN(калькулятор!$K$3:$OJ$3)-COLUMN(калькулятор!$K$3)+1),1)),"")</f>
        <v>Тестова Двадцать</v>
      </c>
      <c r="C6" s="137" t="str">
        <f aca="false">IFERROR(INDEX(калькулятор!$1:$3,1,MATCH(B6,калькулятор!$3:$3,0)),"")</f>
        <v>РУПК</v>
      </c>
      <c r="D6" s="138" t="n">
        <f aca="false">IF(B6="","",IF(OR($C6="КУПК",$C6="КУПК (РП/ЗРП)"),"",VLOOKUP($B6,$B$39:$S$1353,10,0)))</f>
        <v>167058.288459373</v>
      </c>
      <c r="E6" s="138" t="str">
        <f aca="false">IF($B6="","",IF(OR($C6="МП",$C6="РУПК"),"",VLOOKUP($B6,$B$39:$S$1353,10,0)))</f>
        <v/>
      </c>
      <c r="F6" s="138" t="str">
        <f aca="false">IF($B6="","",IF(OR($C6="МП",$C6="РУПК"),"",VLOOKUP($B6,$B$39:$S$1353,13,0)))</f>
        <v/>
      </c>
      <c r="G6" s="138" t="str">
        <f aca="false">IF($B6="","",IF(OR($C6="МП",$C6="РУПК"),"",VLOOKUP($B6,$B$39:$S$1353,16,0)))</f>
        <v/>
      </c>
      <c r="H6" s="138" t="n">
        <f aca="false">IF(B6="","",SUM(D6:G6))</f>
        <v>167058.288459373</v>
      </c>
    </row>
    <row r="7" customFormat="false" ht="15" hidden="false" customHeight="false" outlineLevel="0" collapsed="false">
      <c r="B7" s="136" t="str">
        <f aca="false" t="array" ref="B7:B7">IFERROR(INDEX(калькулятор!$K$3:$OJ$3,SMALL(IF(COUNTIF($B$3:B6,калькулятор!$K$3:$OJ$3)=0,COLUMN(калькулятор!$K$3:$OJ$3)-COLUMN(калькулятор!$K$3)+1),1)),"")</f>
        <v/>
      </c>
      <c r="C7" s="137" t="str">
        <f aca="false">IFERROR(INDEX(калькулятор!$1:$3,1,MATCH(B7,калькулятор!$3:$3,0)),"")</f>
        <v/>
      </c>
      <c r="D7" s="138" t="str">
        <f aca="false">IF(B7="","",IF(OR($C7="КУПК",$C7="КУПК (РП/ЗРП)"),"",VLOOKUP($B7,$B$39:$S$1353,10,0)))</f>
        <v/>
      </c>
      <c r="E7" s="138" t="str">
        <f aca="false">IF($B7="","",IF(OR($C7="МП",$C7="РУПК"),"",VLOOKUP($B7,$B$39:$S$1353,10,0)))</f>
        <v/>
      </c>
      <c r="F7" s="138" t="str">
        <f aca="false">IF($B7="","",IF(OR($C7="МП",$C7="РУПК"),"",VLOOKUP($B7,$B$39:$S$1353,13,0)))</f>
        <v/>
      </c>
      <c r="G7" s="138" t="str">
        <f aca="false">IF($B7="","",IF(OR($C7="МП",$C7="РУПК"),"",VLOOKUP($B7,$B$39:$S$1353,16,0)))</f>
        <v/>
      </c>
      <c r="H7" s="138" t="str">
        <f aca="false">IF(B7="","",SUM(D7:G7))</f>
        <v/>
      </c>
    </row>
    <row r="8" customFormat="false" ht="15" hidden="false" customHeight="false" outlineLevel="0" collapsed="false">
      <c r="B8" s="136" t="str">
        <f aca="false" t="array" ref="B8:B8">IFERROR(INDEX(калькулятор!$K$3:$OJ$3,SMALL(IF(COUNTIF($B$3:B7,калькулятор!$K$3:$OJ$3)=0,COLUMN(калькулятор!$K$3:$OJ$3)-COLUMN(калькулятор!$K$3)+1),1)),"")</f>
        <v/>
      </c>
      <c r="C8" s="137" t="str">
        <f aca="false">IFERROR(INDEX(калькулятор!$1:$3,1,MATCH(B8,калькулятор!$3:$3,0)),"")</f>
        <v/>
      </c>
      <c r="D8" s="138" t="str">
        <f aca="false">IF(B8="","",IF(OR($C8="КУПК",$C8="КУПК (РП/ЗРП)"),"",VLOOKUP($B8,$B$39:$S$1353,10,0)))</f>
        <v/>
      </c>
      <c r="E8" s="138" t="str">
        <f aca="false">IF($B8="","",IF(OR($C8="МП",$C8="РУПК"),"",VLOOKUP($B8,$B$39:$S$1353,10,0)))</f>
        <v/>
      </c>
      <c r="F8" s="138" t="str">
        <f aca="false">IF($B8="","",IF(OR($C8="МП",$C8="РУПК"),"",VLOOKUP($B8,$B$39:$S$1353,13,0)))</f>
        <v/>
      </c>
      <c r="G8" s="138" t="str">
        <f aca="false">IF($B8="","",IF(OR($C8="МП",$C8="РУПК"),"",VLOOKUP($B8,$B$39:$S$1353,16,0)))</f>
        <v/>
      </c>
      <c r="H8" s="138" t="str">
        <f aca="false">IF(B8="","",SUM(D8:G8))</f>
        <v/>
      </c>
    </row>
    <row r="9" customFormat="false" ht="15" hidden="false" customHeight="false" outlineLevel="0" collapsed="false">
      <c r="B9" s="136" t="str">
        <f aca="false" t="array" ref="B9:B9">IFERROR(INDEX(калькулятор!$K$3:$OJ$3,SMALL(IF(COUNTIF($B$3:B8,калькулятор!$K$3:$OJ$3)=0,COLUMN(калькулятор!$K$3:$OJ$3)-COLUMN(калькулятор!$K$3)+1),1)),"")</f>
        <v/>
      </c>
      <c r="C9" s="137" t="str">
        <f aca="false">IFERROR(INDEX(калькулятор!$1:$3,1,MATCH(B9,калькулятор!$3:$3,0)),"")</f>
        <v/>
      </c>
      <c r="D9" s="138" t="str">
        <f aca="false">IF(B9="","",IF(OR($C9="КУПК",$C9="КУПК (РП/ЗРП)"),"",VLOOKUP($B9,$B$39:$S$1353,10,0)))</f>
        <v/>
      </c>
      <c r="E9" s="138" t="str">
        <f aca="false">IF($B9="","",IF(OR($C9="МП",$C9="РУПК"),"",VLOOKUP($B9,$B$39:$S$1353,10,0)))</f>
        <v/>
      </c>
      <c r="F9" s="138" t="str">
        <f aca="false">IF($B9="","",IF(OR($C9="МП",$C9="РУПК"),"",VLOOKUP($B9,$B$39:$S$1353,13,0)))</f>
        <v/>
      </c>
      <c r="G9" s="138" t="str">
        <f aca="false">IF($B9="","",IF(OR($C9="МП",$C9="РУПК"),"",VLOOKUP($B9,$B$39:$S$1353,16,0)))</f>
        <v/>
      </c>
      <c r="H9" s="138" t="str">
        <f aca="false">IF(B9="","",SUM(D9:G9))</f>
        <v/>
      </c>
    </row>
    <row r="10" customFormat="false" ht="15" hidden="false" customHeight="false" outlineLevel="0" collapsed="false">
      <c r="B10" s="136" t="str">
        <f aca="false" t="array" ref="B10:B10">IFERROR(INDEX(калькулятор!$K$3:$OJ$3,SMALL(IF(COUNTIF($B$3:B9,калькулятор!$K$3:$OJ$3)=0,COLUMN(калькулятор!$K$3:$OJ$3)-COLUMN(калькулятор!$K$3)+1),1)),"")</f>
        <v/>
      </c>
      <c r="C10" s="137" t="str">
        <f aca="false">IFERROR(INDEX(калькулятор!$1:$3,1,MATCH(B10,калькулятор!$3:$3,0)),"")</f>
        <v/>
      </c>
      <c r="D10" s="138" t="str">
        <f aca="false">IF(B10="","",IF(OR($C10="КУПК",$C10="КУПК (РП/ЗРП)"),"",VLOOKUP($B10,$B$39:$S$1353,10,0)))</f>
        <v/>
      </c>
      <c r="E10" s="138" t="str">
        <f aca="false">IF($B10="","",IF(OR($C10="МП",$C10="РУПК"),"",VLOOKUP($B10,$B$39:$S$1353,10,0)))</f>
        <v/>
      </c>
      <c r="F10" s="138" t="str">
        <f aca="false">IF($B10="","",IF(OR($C10="МП",$C10="РУПК"),"",VLOOKUP($B10,$B$39:$S$1353,13,0)))</f>
        <v/>
      </c>
      <c r="G10" s="138" t="str">
        <f aca="false">IF($B10="","",IF(OR($C10="МП",$C10="РУПК"),"",VLOOKUP($B10,$B$39:$S$1353,16,0)))</f>
        <v/>
      </c>
      <c r="H10" s="138" t="str">
        <f aca="false">IF(B10="","",SUM(D10:G10))</f>
        <v/>
      </c>
    </row>
    <row r="11" customFormat="false" ht="15" hidden="false" customHeight="false" outlineLevel="0" collapsed="false">
      <c r="B11" s="136" t="str">
        <f aca="false" t="array" ref="B11:B11">IFERROR(INDEX(калькулятор!$K$3:$OJ$3,SMALL(IF(COUNTIF($B$3:B10,калькулятор!$K$3:$OJ$3)=0,COLUMN(калькулятор!$K$3:$OJ$3)-COLUMN(калькулятор!$K$3)+1),1)),"")</f>
        <v/>
      </c>
      <c r="C11" s="137" t="str">
        <f aca="false">IFERROR(INDEX(калькулятор!$1:$3,1,MATCH(B11,калькулятор!$3:$3,0)),"")</f>
        <v/>
      </c>
      <c r="D11" s="138" t="str">
        <f aca="false">IF(B11="","",IF(OR($C11="КУПК",$C11="КУПК (РП/ЗРП)"),"",VLOOKUP($B11,$B$39:$S$1353,10,0)))</f>
        <v/>
      </c>
      <c r="E11" s="138" t="str">
        <f aca="false">IF($B11="","",IF(OR($C11="МП",$C11="РУПК"),"",VLOOKUP($B11,$B$39:$S$1353,10,0)))</f>
        <v/>
      </c>
      <c r="F11" s="138" t="str">
        <f aca="false">IF($B11="","",IF(OR($C11="МП",$C11="РУПК"),"",VLOOKUP($B11,$B$39:$S$1353,13,0)))</f>
        <v/>
      </c>
      <c r="G11" s="138" t="str">
        <f aca="false">IF($B11="","",IF(OR($C11="МП",$C11="РУПК"),"",VLOOKUP($B11,$B$39:$S$1353,16,0)))</f>
        <v/>
      </c>
      <c r="H11" s="138" t="str">
        <f aca="false">IF(B11="","",SUM(D11:G11))</f>
        <v/>
      </c>
    </row>
    <row r="12" customFormat="false" ht="15" hidden="false" customHeight="false" outlineLevel="0" collapsed="false">
      <c r="B12" s="136" t="str">
        <f aca="false" t="array" ref="B12:B12">IFERROR(INDEX(калькулятор!$K$3:$OJ$3,SMALL(IF(COUNTIF($B$3:B11,калькулятор!$K$3:$OJ$3)=0,COLUMN(калькулятор!$K$3:$OJ$3)-COLUMN(калькулятор!$K$3)+1),1)),"")</f>
        <v/>
      </c>
      <c r="C12" s="137" t="str">
        <f aca="false">IFERROR(INDEX(калькулятор!$1:$3,1,MATCH(B12,калькулятор!$3:$3,0)),"")</f>
        <v/>
      </c>
      <c r="D12" s="138" t="str">
        <f aca="false">IF(B12="","",IF(OR($C12="КУПК",$C12="КУПК (РП/ЗРП)"),"",VLOOKUP($B12,$B$39:$S$1353,10,0)))</f>
        <v/>
      </c>
      <c r="E12" s="138" t="str">
        <f aca="false">IF($B12="","",IF(OR($C12="МП",$C12="РУПК"),"",VLOOKUP($B12,$B$39:$S$1353,10,0)))</f>
        <v/>
      </c>
      <c r="F12" s="138" t="str">
        <f aca="false">IF($B12="","",IF(OR($C12="МП",$C12="РУПК"),"",VLOOKUP($B12,$B$39:$S$1353,13,0)))</f>
        <v/>
      </c>
      <c r="G12" s="138" t="str">
        <f aca="false">IF($B12="","",IF(OR($C12="МП",$C12="РУПК"),"",VLOOKUP($B12,$B$39:$S$1353,16,0)))</f>
        <v/>
      </c>
      <c r="H12" s="138" t="str">
        <f aca="false">IF(B12="","",SUM(D12:G12))</f>
        <v/>
      </c>
    </row>
    <row r="13" customFormat="false" ht="15" hidden="false" customHeight="false" outlineLevel="0" collapsed="false">
      <c r="B13" s="136" t="str">
        <f aca="false" t="array" ref="B13:B13">IFERROR(INDEX(калькулятор!$K$3:$OJ$3,SMALL(IF(COUNTIF($B$3:B12,калькулятор!$K$3:$OJ$3)=0,COLUMN(калькулятор!$K$3:$OJ$3)-COLUMN(калькулятор!$K$3)+1),1)),"")</f>
        <v/>
      </c>
      <c r="C13" s="137" t="str">
        <f aca="false">IFERROR(INDEX(калькулятор!$1:$3,1,MATCH(B13,калькулятор!$3:$3,0)),"")</f>
        <v/>
      </c>
      <c r="D13" s="138" t="str">
        <f aca="false">IF(B13="","",IF(OR($C13="КУПК",$C13="КУПК (РП/ЗРП)"),"",VLOOKUP($B13,$B$39:$S$1353,10,0)))</f>
        <v/>
      </c>
      <c r="E13" s="138" t="str">
        <f aca="false">IF($B13="","",IF(OR($C13="МП",$C13="РУПК"),"",VLOOKUP($B13,$B$39:$S$1353,10,0)))</f>
        <v/>
      </c>
      <c r="F13" s="138" t="str">
        <f aca="false">IF($B13="","",IF(OR($C13="МП",$C13="РУПК"),"",VLOOKUP($B13,$B$39:$S$1353,13,0)))</f>
        <v/>
      </c>
      <c r="G13" s="138" t="str">
        <f aca="false">IF($B13="","",IF(OR($C13="МП",$C13="РУПК"),"",VLOOKUP($B13,$B$39:$S$1353,16,0)))</f>
        <v/>
      </c>
      <c r="H13" s="138" t="str">
        <f aca="false">IF(B13="","",SUM(D13:G13))</f>
        <v/>
      </c>
    </row>
    <row r="14" customFormat="false" ht="15" hidden="false" customHeight="false" outlineLevel="0" collapsed="false">
      <c r="B14" s="136" t="str">
        <f aca="false" t="array" ref="B14:B14">IFERROR(INDEX(калькулятор!$K$3:$OJ$3,SMALL(IF(COUNTIF($B$3:B13,калькулятор!$K$3:$OJ$3)=0,COLUMN(калькулятор!$K$3:$OJ$3)-COLUMN(калькулятор!$K$3)+1),1)),"")</f>
        <v/>
      </c>
      <c r="C14" s="137" t="str">
        <f aca="false">IFERROR(INDEX(калькулятор!$1:$3,1,MATCH(B14,калькулятор!$3:$3,0)),"")</f>
        <v/>
      </c>
      <c r="D14" s="138" t="str">
        <f aca="false">IF(B14="","",IF(OR($C14="КУПК",$C14="КУПК (РП/ЗРП)"),"",VLOOKUP($B14,$B$39:$S$1353,10,0)))</f>
        <v/>
      </c>
      <c r="E14" s="138" t="str">
        <f aca="false">IF($B14="","",IF(OR($C14="МП",$C14="РУПК"),"",VLOOKUP($B14,$B$39:$S$1353,10,0)))</f>
        <v/>
      </c>
      <c r="F14" s="138" t="str">
        <f aca="false">IF($B14="","",IF(OR($C14="МП",$C14="РУПК"),"",VLOOKUP($B14,$B$39:$S$1353,13,0)))</f>
        <v/>
      </c>
      <c r="G14" s="138" t="str">
        <f aca="false">IF($B14="","",IF(OR($C14="МП",$C14="РУПК"),"",VLOOKUP($B14,$B$39:$S$1353,16,0)))</f>
        <v/>
      </c>
      <c r="H14" s="138" t="str">
        <f aca="false">IF(B14="","",SUM(D14:G14))</f>
        <v/>
      </c>
    </row>
    <row r="15" customFormat="false" ht="15" hidden="false" customHeight="false" outlineLevel="0" collapsed="false">
      <c r="B15" s="136" t="str">
        <f aca="false" t="array" ref="B15:B15">IFERROR(INDEX(калькулятор!$K$3:$OJ$3,SMALL(IF(COUNTIF($B$3:B14,калькулятор!$K$3:$OJ$3)=0,COLUMN(калькулятор!$K$3:$OJ$3)-COLUMN(калькулятор!$K$3)+1),1)),"")</f>
        <v/>
      </c>
      <c r="C15" s="137" t="str">
        <f aca="false">IFERROR(INDEX(калькулятор!$1:$3,1,MATCH(B15,калькулятор!$3:$3,0)),"")</f>
        <v/>
      </c>
      <c r="D15" s="138" t="str">
        <f aca="false">IF(B15="","",IF(OR($C15="КУПК",$C15="КУПК (РП/ЗРП)"),"",VLOOKUP($B15,$B$39:$S$1353,10,0)))</f>
        <v/>
      </c>
      <c r="E15" s="138" t="str">
        <f aca="false">IF($B15="","",IF(OR($C15="МП",$C15="РУПК"),"",VLOOKUP($B15,$B$39:$S$1353,10,0)))</f>
        <v/>
      </c>
      <c r="F15" s="138" t="str">
        <f aca="false">IF($B15="","",IF(OR($C15="МП",$C15="РУПК"),"",VLOOKUP($B15,$B$39:$S$1353,13,0)))</f>
        <v/>
      </c>
      <c r="G15" s="138" t="str">
        <f aca="false">IF($B15="","",IF(OR($C15="МП",$C15="РУПК"),"",VLOOKUP($B15,$B$39:$S$1353,16,0)))</f>
        <v/>
      </c>
      <c r="H15" s="138" t="str">
        <f aca="false">IF(B15="","",SUM(D15:G15))</f>
        <v/>
      </c>
    </row>
    <row r="16" customFormat="false" ht="15" hidden="false" customHeight="false" outlineLevel="0" collapsed="false">
      <c r="B16" s="136" t="str">
        <f aca="false" t="array" ref="B16:B16">IFERROR(INDEX(калькулятор!$K$3:$OJ$3,SMALL(IF(COUNTIF($B$3:B15,калькулятор!$K$3:$OJ$3)=0,COLUMN(калькулятор!$K$3:$OJ$3)-COLUMN(калькулятор!$K$3)+1),1)),"")</f>
        <v/>
      </c>
      <c r="C16" s="137" t="str">
        <f aca="false">IFERROR(INDEX(калькулятор!$1:$3,1,MATCH(B16,калькулятор!$3:$3,0)),"")</f>
        <v/>
      </c>
      <c r="D16" s="138" t="str">
        <f aca="false">IF(B16="","",IF(OR($C16="КУПК",$C16="КУПК (РП/ЗРП)"),"",VLOOKUP($B16,$B$39:$S$1353,10,0)))</f>
        <v/>
      </c>
      <c r="E16" s="138" t="str">
        <f aca="false">IF($B16="","",IF(OR($C16="МП",$C16="РУПК"),"",VLOOKUP($B16,$B$39:$S$1353,10,0)))</f>
        <v/>
      </c>
      <c r="F16" s="138" t="str">
        <f aca="false">IF($B16="","",IF(OR($C16="МП",$C16="РУПК"),"",VLOOKUP($B16,$B$39:$S$1353,13,0)))</f>
        <v/>
      </c>
      <c r="G16" s="138" t="str">
        <f aca="false">IF($B16="","",IF(OR($C16="МП",$C16="РУПК"),"",VLOOKUP($B16,$B$39:$S$1353,16,0)))</f>
        <v/>
      </c>
      <c r="H16" s="138" t="str">
        <f aca="false">IF(B16="","",SUM(D16:G16))</f>
        <v/>
      </c>
    </row>
    <row r="17" customFormat="false" ht="15" hidden="false" customHeight="false" outlineLevel="0" collapsed="false">
      <c r="B17" s="136" t="str">
        <f aca="false" t="array" ref="B17:B17">IFERROR(INDEX(калькулятор!$K$3:$OJ$3,SMALL(IF(COUNTIF($B$3:B16,калькулятор!$K$3:$OJ$3)=0,COLUMN(калькулятор!$K$3:$OJ$3)-COLUMN(калькулятор!$K$3)+1),1)),"")</f>
        <v/>
      </c>
      <c r="C17" s="137" t="str">
        <f aca="false">IFERROR(INDEX(калькулятор!$1:$3,1,MATCH(B17,калькулятор!$3:$3,0)),"")</f>
        <v/>
      </c>
      <c r="D17" s="138" t="str">
        <f aca="false">IF(B17="","",IF(OR($C17="КУПК",$C17="КУПК (РП/ЗРП)"),"",VLOOKUP($B17,$B$39:$S$1353,10,0)))</f>
        <v/>
      </c>
      <c r="E17" s="138" t="str">
        <f aca="false">IF($B17="","",IF(OR($C17="МП",$C17="РУПК"),"",VLOOKUP($B17,$B$39:$S$1353,10,0)))</f>
        <v/>
      </c>
      <c r="F17" s="138" t="str">
        <f aca="false">IF($B17="","",IF(OR($C17="МП",$C17="РУПК"),"",VLOOKUP($B17,$B$39:$S$1353,13,0)))</f>
        <v/>
      </c>
      <c r="G17" s="138" t="str">
        <f aca="false">IF($B17="","",IF(OR($C17="МП",$C17="РУПК"),"",VLOOKUP($B17,$B$39:$S$1353,16,0)))</f>
        <v/>
      </c>
      <c r="H17" s="138" t="str">
        <f aca="false">IF(B17="","",SUM(D17:G17))</f>
        <v/>
      </c>
    </row>
    <row r="18" customFormat="false" ht="15" hidden="false" customHeight="false" outlineLevel="0" collapsed="false">
      <c r="B18" s="136" t="str">
        <f aca="false" t="array" ref="B18:B18">IFERROR(INDEX(калькулятор!$K$3:$OJ$3,SMALL(IF(COUNTIF($B$3:B17,калькулятор!$K$3:$OJ$3)=0,COLUMN(калькулятор!$K$3:$OJ$3)-COLUMN(калькулятор!$K$3)+1),1)),"")</f>
        <v/>
      </c>
      <c r="C18" s="137" t="str">
        <f aca="false">IFERROR(INDEX(калькулятор!$1:$3,1,MATCH(B18,калькулятор!$3:$3,0)),"")</f>
        <v/>
      </c>
      <c r="D18" s="138" t="str">
        <f aca="false">IF(B18="","",IF(OR($C18="КУПК",$C18="КУПК (РП/ЗРП)"),"",VLOOKUP($B18,$B$39:$S$1353,10,0)))</f>
        <v/>
      </c>
      <c r="E18" s="138" t="str">
        <f aca="false">IF($B18="","",IF(OR($C18="МП",$C18="РУПК"),"",VLOOKUP($B18,$B$39:$S$1353,10,0)))</f>
        <v/>
      </c>
      <c r="F18" s="138" t="str">
        <f aca="false">IF($B18="","",IF(OR($C18="МП",$C18="РУПК"),"",VLOOKUP($B18,$B$39:$S$1353,13,0)))</f>
        <v/>
      </c>
      <c r="G18" s="138" t="str">
        <f aca="false">IF($B18="","",IF(OR($C18="МП",$C18="РУПК"),"",VLOOKUP($B18,$B$39:$S$1353,16,0)))</f>
        <v/>
      </c>
      <c r="H18" s="138" t="str">
        <f aca="false">IF(B18="","",SUM(D18:G18))</f>
        <v/>
      </c>
    </row>
    <row r="19" customFormat="false" ht="15" hidden="false" customHeight="false" outlineLevel="0" collapsed="false">
      <c r="B19" s="136" t="str">
        <f aca="false" t="array" ref="B19:B19">IFERROR(INDEX(калькулятор!$K$3:$OJ$3,SMALL(IF(COUNTIF($B$3:B18,калькулятор!$K$3:$OJ$3)=0,COLUMN(калькулятор!$K$3:$OJ$3)-COLUMN(калькулятор!$K$3)+1),1)),"")</f>
        <v/>
      </c>
      <c r="C19" s="137" t="str">
        <f aca="false">IFERROR(INDEX(калькулятор!$1:$3,1,MATCH(B19,калькулятор!$3:$3,0)),"")</f>
        <v/>
      </c>
      <c r="D19" s="138" t="str">
        <f aca="false">IF(B19="","",IF(OR($C19="КУПК",$C19="КУПК (РП/ЗРП)"),"",VLOOKUP($B19,$B$39:$S$1353,10,0)))</f>
        <v/>
      </c>
      <c r="E19" s="138" t="str">
        <f aca="false">IF($B19="","",IF(OR($C19="МП",$C19="РУПК"),"",VLOOKUP($B19,$B$39:$S$1353,10,0)))</f>
        <v/>
      </c>
      <c r="F19" s="138" t="str">
        <f aca="false">IF($B19="","",IF(OR($C19="МП",$C19="РУПК"),"",VLOOKUP($B19,$B$39:$S$1353,13,0)))</f>
        <v/>
      </c>
      <c r="G19" s="138" t="str">
        <f aca="false">IF($B19="","",IF(OR($C19="МП",$C19="РУПК"),"",VLOOKUP($B19,$B$39:$S$1353,16,0)))</f>
        <v/>
      </c>
      <c r="H19" s="138" t="str">
        <f aca="false">IF(B19="","",SUM(D19:G19))</f>
        <v/>
      </c>
    </row>
    <row r="20" customFormat="false" ht="15" hidden="false" customHeight="false" outlineLevel="0" collapsed="false">
      <c r="B20" s="136" t="str">
        <f aca="false" t="array" ref="B20:B20">IFERROR(INDEX(калькулятор!$K$3:$OJ$3,SMALL(IF(COUNTIF($B$3:B19,калькулятор!$K$3:$OJ$3)=0,COLUMN(калькулятор!$K$3:$OJ$3)-COLUMN(калькулятор!$K$3)+1),1)),"")</f>
        <v/>
      </c>
      <c r="C20" s="137" t="str">
        <f aca="false">IFERROR(INDEX(калькулятор!$1:$3,1,MATCH(B20,калькулятор!$3:$3,0)),"")</f>
        <v/>
      </c>
      <c r="D20" s="138" t="str">
        <f aca="false">IF(B20="","",IF(OR($C20="КУПК",$C20="КУПК (РП/ЗРП)"),"",VLOOKUP($B20,$B$39:$S$1353,10,0)))</f>
        <v/>
      </c>
      <c r="E20" s="138" t="str">
        <f aca="false">IF($B20="","",IF(OR($C20="МП",$C20="РУПК"),"",VLOOKUP($B20,$B$39:$S$1353,10,0)))</f>
        <v/>
      </c>
      <c r="F20" s="138" t="str">
        <f aca="false">IF($B20="","",IF(OR($C20="МП",$C20="РУПК"),"",VLOOKUP($B20,$B$39:$S$1353,13,0)))</f>
        <v/>
      </c>
      <c r="G20" s="138" t="str">
        <f aca="false">IF($B20="","",IF(OR($C20="МП",$C20="РУПК"),"",VLOOKUP($B20,$B$39:$S$1353,16,0)))</f>
        <v/>
      </c>
      <c r="H20" s="138" t="str">
        <f aca="false">IF(B20="","",SUM(D20:G20))</f>
        <v/>
      </c>
    </row>
    <row r="21" customFormat="false" ht="15" hidden="false" customHeight="false" outlineLevel="0" collapsed="false">
      <c r="B21" s="136" t="str">
        <f aca="false" t="array" ref="B21:B21">IFERROR(INDEX(калькулятор!$K$3:$OJ$3,SMALL(IF(COUNTIF($B$3:B20,калькулятор!$K$3:$OJ$3)=0,COLUMN(калькулятор!$K$3:$OJ$3)-COLUMN(калькулятор!$K$3)+1),1)),"")</f>
        <v/>
      </c>
      <c r="C21" s="137" t="str">
        <f aca="false">IFERROR(INDEX(калькулятор!$1:$3,1,MATCH(B21,калькулятор!$3:$3,0)),"")</f>
        <v/>
      </c>
      <c r="D21" s="138" t="str">
        <f aca="false">IF(B21="","",IF(OR($C21="КУПК",$C21="КУПК (РП/ЗРП)"),"",VLOOKUP($B21,$B$39:$S$1353,10,0)))</f>
        <v/>
      </c>
      <c r="E21" s="138" t="str">
        <f aca="false">IF($B21="","",IF(OR($C21="МП",$C21="РУПК"),"",VLOOKUP($B21,$B$39:$S$1353,10,0)))</f>
        <v/>
      </c>
      <c r="F21" s="138" t="str">
        <f aca="false">IF($B21="","",IF(OR($C21="МП",$C21="РУПК"),"",VLOOKUP($B21,$B$39:$S$1353,13,0)))</f>
        <v/>
      </c>
      <c r="G21" s="138" t="str">
        <f aca="false">IF($B21="","",IF(OR($C21="МП",$C21="РУПК"),"",VLOOKUP($B21,$B$39:$S$1353,16,0)))</f>
        <v/>
      </c>
      <c r="H21" s="138" t="str">
        <f aca="false">IF(B21="","",SUM(D21:G21))</f>
        <v/>
      </c>
    </row>
    <row r="22" customFormat="false" ht="15" hidden="false" customHeight="false" outlineLevel="0" collapsed="false">
      <c r="B22" s="136" t="str">
        <f aca="false" t="array" ref="B22:B22">IFERROR(INDEX(калькулятор!$K$3:$OJ$3,SMALL(IF(COUNTIF($B$3:B21,калькулятор!$K$3:$OJ$3)=0,COLUMN(калькулятор!$K$3:$OJ$3)-COLUMN(калькулятор!$K$3)+1),1)),"")</f>
        <v/>
      </c>
      <c r="C22" s="137" t="str">
        <f aca="false">IFERROR(INDEX(калькулятор!$1:$3,1,MATCH(B22,калькулятор!$3:$3,0)),"")</f>
        <v/>
      </c>
      <c r="D22" s="138" t="str">
        <f aca="false">IF(B22="","",IF(OR($C22="КУПК",$C22="КУПК (РП/ЗРП)"),"",VLOOKUP($B22,$B$39:$S$1353,10,0)))</f>
        <v/>
      </c>
      <c r="E22" s="138" t="str">
        <f aca="false">IF($B22="","",IF(OR($C22="МП",$C22="РУПК"),"",VLOOKUP($B22,$B$39:$S$1353,10,0)))</f>
        <v/>
      </c>
      <c r="F22" s="138" t="str">
        <f aca="false">IF($B22="","",IF(OR($C22="МП",$C22="РУПК"),"",VLOOKUP($B22,$B$39:$S$1353,13,0)))</f>
        <v/>
      </c>
      <c r="G22" s="138" t="str">
        <f aca="false">IF($B22="","",IF(OR($C22="МП",$C22="РУПК"),"",VLOOKUP($B22,$B$39:$S$1353,16,0)))</f>
        <v/>
      </c>
      <c r="H22" s="138" t="str">
        <f aca="false">IF(B22="","",SUM(D22:G22))</f>
        <v/>
      </c>
    </row>
    <row r="23" customFormat="false" ht="15" hidden="false" customHeight="false" outlineLevel="0" collapsed="false">
      <c r="B23" s="136" t="str">
        <f aca="false" t="array" ref="B23:B23">IFERROR(INDEX(калькулятор!$K$3:$OJ$3,SMALL(IF(COUNTIF($B$3:B22,калькулятор!$K$3:$OJ$3)=0,COLUMN(калькулятор!$K$3:$OJ$3)-COLUMN(калькулятор!$K$3)+1),1)),"")</f>
        <v/>
      </c>
      <c r="C23" s="137" t="str">
        <f aca="false">IFERROR(INDEX(калькулятор!$1:$3,1,MATCH(B23,калькулятор!$3:$3,0)),"")</f>
        <v/>
      </c>
      <c r="D23" s="138" t="str">
        <f aca="false">IF(B23="","",IF(OR($C23="КУПК",$C23="КУПК (РП/ЗРП)"),"",VLOOKUP($B23,$B$39:$S$1353,10,0)))</f>
        <v/>
      </c>
      <c r="E23" s="138" t="str">
        <f aca="false">IF($B23="","",IF(OR($C23="МП",$C23="РУПК"),"",VLOOKUP($B23,$B$39:$S$1353,10,0)))</f>
        <v/>
      </c>
      <c r="F23" s="138" t="str">
        <f aca="false">IF($B23="","",IF(OR($C23="МП",$C23="РУПК"),"",VLOOKUP($B23,$B$39:$S$1353,13,0)))</f>
        <v/>
      </c>
      <c r="G23" s="138" t="str">
        <f aca="false">IF($B23="","",IF(OR($C23="МП",$C23="РУПК"),"",VLOOKUP($B23,$B$39:$S$1353,16,0)))</f>
        <v/>
      </c>
      <c r="H23" s="138" t="str">
        <f aca="false">IF(B23="","",SUM(D23:G23))</f>
        <v/>
      </c>
    </row>
    <row r="24" customFormat="false" ht="15" hidden="false" customHeight="false" outlineLevel="0" collapsed="false">
      <c r="B24" s="136" t="str">
        <f aca="false" t="array" ref="B24:B24">IFERROR(INDEX(калькулятор!$K$3:$OJ$3,SMALL(IF(COUNTIF($B$3:B23,калькулятор!$K$3:$OJ$3)=0,COLUMN(калькулятор!$K$3:$OJ$3)-COLUMN(калькулятор!$K$3)+1),1)),"")</f>
        <v/>
      </c>
      <c r="C24" s="137" t="str">
        <f aca="false">IFERROR(INDEX(калькулятор!$1:$3,1,MATCH(B24,калькулятор!$3:$3,0)),"")</f>
        <v/>
      </c>
      <c r="D24" s="138" t="str">
        <f aca="false">IF(B24="","",IF(OR($C24="КУПК",$C24="КУПК (РП/ЗРП)"),"",VLOOKUP($B24,$B$39:$S$1353,10,0)))</f>
        <v/>
      </c>
      <c r="E24" s="138" t="str">
        <f aca="false">IF($B24="","",IF(OR($C24="МП",$C24="РУПК"),"",VLOOKUP($B24,$B$39:$S$1353,10,0)))</f>
        <v/>
      </c>
      <c r="F24" s="138" t="str">
        <f aca="false">IF($B24="","",IF(OR($C24="МП",$C24="РУПК"),"",VLOOKUP($B24,$B$39:$S$1353,13,0)))</f>
        <v/>
      </c>
      <c r="G24" s="138" t="str">
        <f aca="false">IF($B24="","",IF(OR($C24="МП",$C24="РУПК"),"",VLOOKUP($B24,$B$39:$S$1353,16,0)))</f>
        <v/>
      </c>
      <c r="H24" s="138" t="str">
        <f aca="false">IF(B24="","",SUM(D24:G24))</f>
        <v/>
      </c>
    </row>
    <row r="25" customFormat="false" ht="15" hidden="false" customHeight="false" outlineLevel="0" collapsed="false">
      <c r="B25" s="136" t="str">
        <f aca="false" t="array" ref="B25:B25">IFERROR(INDEX(калькулятор!$K$3:$OJ$3,SMALL(IF(COUNTIF($B$3:B24,калькулятор!$K$3:$OJ$3)=0,COLUMN(калькулятор!$K$3:$OJ$3)-COLUMN(калькулятор!$K$3)+1),1)),"")</f>
        <v/>
      </c>
      <c r="C25" s="137" t="str">
        <f aca="false">IFERROR(INDEX(калькулятор!$1:$3,1,MATCH(B25,калькулятор!$3:$3,0)),"")</f>
        <v/>
      </c>
      <c r="D25" s="138" t="str">
        <f aca="false">IF(B25="","",IF(OR($C25="КУПК",$C25="КУПК (РП/ЗРП)"),"",VLOOKUP($B25,$B$39:$S$1353,10,0)))</f>
        <v/>
      </c>
      <c r="E25" s="138" t="str">
        <f aca="false">IF($B25="","",IF(OR($C25="МП",$C25="РУПК"),"",VLOOKUP($B25,$B$39:$S$1353,10,0)))</f>
        <v/>
      </c>
      <c r="F25" s="138" t="str">
        <f aca="false">IF($B25="","",IF(OR($C25="МП",$C25="РУПК"),"",VLOOKUP($B25,$B$39:$S$1353,13,0)))</f>
        <v/>
      </c>
      <c r="G25" s="138" t="str">
        <f aca="false">IF($B25="","",IF(OR($C25="МП",$C25="РУПК"),"",VLOOKUP($B25,$B$39:$S$1353,16,0)))</f>
        <v/>
      </c>
      <c r="H25" s="138" t="str">
        <f aca="false">IF(B25="","",SUM(D25:G25))</f>
        <v/>
      </c>
    </row>
    <row r="26" customFormat="false" ht="15" hidden="false" customHeight="false" outlineLevel="0" collapsed="false">
      <c r="B26" s="136" t="str">
        <f aca="false" t="array" ref="B26:B26">IFERROR(INDEX(калькулятор!$K$3:$OJ$3,SMALL(IF(COUNTIF($B$3:B25,калькулятор!$K$3:$OJ$3)=0,COLUMN(калькулятор!$K$3:$OJ$3)-COLUMN(калькулятор!$K$3)+1),1)),"")</f>
        <v/>
      </c>
      <c r="C26" s="137" t="str">
        <f aca="false">IFERROR(INDEX(калькулятор!$1:$3,1,MATCH(B26,калькулятор!$3:$3,0)),"")</f>
        <v/>
      </c>
      <c r="D26" s="138" t="str">
        <f aca="false">IF(B26="","",IF(OR($C26="КУПК",$C26="КУПК (РП/ЗРП)"),"",VLOOKUP($B26,$B$39:$S$1353,10,0)))</f>
        <v/>
      </c>
      <c r="E26" s="138" t="str">
        <f aca="false">IF($B26="","",IF(OR($C26="МП",$C26="РУПК"),"",VLOOKUP($B26,$B$39:$S$1353,10,0)))</f>
        <v/>
      </c>
      <c r="F26" s="138" t="str">
        <f aca="false">IF($B26="","",IF(OR($C26="МП",$C26="РУПК"),"",VLOOKUP($B26,$B$39:$S$1353,13,0)))</f>
        <v/>
      </c>
      <c r="G26" s="138" t="str">
        <f aca="false">IF($B26="","",IF(OR($C26="МП",$C26="РУПК"),"",VLOOKUP($B26,$B$39:$S$1353,16,0)))</f>
        <v/>
      </c>
      <c r="H26" s="138" t="str">
        <f aca="false">IF(B26="","",SUM(D26:G26))</f>
        <v/>
      </c>
    </row>
    <row r="27" customFormat="false" ht="15" hidden="false" customHeight="false" outlineLevel="0" collapsed="false">
      <c r="B27" s="136" t="str">
        <f aca="false" t="array" ref="B27:B27">IFERROR(INDEX(калькулятор!$K$3:$OJ$3,SMALL(IF(COUNTIF($B$3:B26,калькулятор!$K$3:$OJ$3)=0,COLUMN(калькулятор!$K$3:$OJ$3)-COLUMN(калькулятор!$K$3)+1),1)),"")</f>
        <v/>
      </c>
      <c r="C27" s="137" t="str">
        <f aca="false">IFERROR(INDEX(калькулятор!$1:$3,1,MATCH(B27,калькулятор!$3:$3,0)),"")</f>
        <v/>
      </c>
      <c r="D27" s="138" t="str">
        <f aca="false">IF(B27="","",IF(OR($C27="КУПК",$C27="КУПК (РП/ЗРП)"),"",VLOOKUP($B27,$B$39:$S$1353,10,0)))</f>
        <v/>
      </c>
      <c r="E27" s="138" t="str">
        <f aca="false">IF($B27="","",IF(OR($C27="МП",$C27="РУПК"),"",VLOOKUP($B27,$B$39:$S$1353,10,0)))</f>
        <v/>
      </c>
      <c r="F27" s="138" t="str">
        <f aca="false">IF($B27="","",IF(OR($C27="МП",$C27="РУПК"),"",VLOOKUP($B27,$B$39:$S$1353,13,0)))</f>
        <v/>
      </c>
      <c r="G27" s="138" t="str">
        <f aca="false">IF($B27="","",IF(OR($C27="МП",$C27="РУПК"),"",VLOOKUP($B27,$B$39:$S$1353,16,0)))</f>
        <v/>
      </c>
      <c r="H27" s="138" t="str">
        <f aca="false">IF(B27="","",SUM(D27:G27))</f>
        <v/>
      </c>
    </row>
    <row r="28" customFormat="false" ht="15" hidden="false" customHeight="false" outlineLevel="0" collapsed="false">
      <c r="B28" s="136" t="str">
        <f aca="false" t="array" ref="B28:B28">IFERROR(INDEX(калькулятор!$K$3:$OJ$3,SMALL(IF(COUNTIF($B$3:B27,калькулятор!$K$3:$OJ$3)=0,COLUMN(калькулятор!$K$3:$OJ$3)-COLUMN(калькулятор!$K$3)+1),1)),"")</f>
        <v/>
      </c>
      <c r="C28" s="137" t="str">
        <f aca="false">IFERROR(INDEX(калькулятор!$1:$3,1,MATCH(B28,калькулятор!$3:$3,0)),"")</f>
        <v/>
      </c>
      <c r="D28" s="138" t="str">
        <f aca="false">IF(B28="","",IF(OR($C28="КУПК",$C28="КУПК (РП/ЗРП)"),"",VLOOKUP($B28,$B$39:$S$1353,10,0)))</f>
        <v/>
      </c>
      <c r="E28" s="138" t="str">
        <f aca="false">IF($B28="","",IF(OR($C28="МП",$C28="РУПК"),"",VLOOKUP($B28,$B$39:$S$1353,10,0)))</f>
        <v/>
      </c>
      <c r="F28" s="138" t="str">
        <f aca="false">IF($B28="","",IF(OR($C28="МП",$C28="РУПК"),"",VLOOKUP($B28,$B$39:$S$1353,13,0)))</f>
        <v/>
      </c>
      <c r="G28" s="138" t="str">
        <f aca="false">IF($B28="","",IF(OR($C28="МП",$C28="РУПК"),"",VLOOKUP($B28,$B$39:$S$1353,16,0)))</f>
        <v/>
      </c>
      <c r="H28" s="138" t="str">
        <f aca="false">IF(B28="","",SUM(D28:G28))</f>
        <v/>
      </c>
    </row>
    <row r="29" customFormat="false" ht="15" hidden="false" customHeight="false" outlineLevel="0" collapsed="false">
      <c r="B29" s="136" t="str">
        <f aca="false" t="array" ref="B29:B29">IFERROR(INDEX(калькулятор!$K$3:$OJ$3,SMALL(IF(COUNTIF($B$3:B28,калькулятор!$K$3:$OJ$3)=0,COLUMN(калькулятор!$K$3:$OJ$3)-COLUMN(калькулятор!$K$3)+1),1)),"")</f>
        <v/>
      </c>
      <c r="C29" s="137" t="str">
        <f aca="false">IFERROR(INDEX(калькулятор!$1:$3,1,MATCH(B29,калькулятор!$3:$3,0)),"")</f>
        <v/>
      </c>
      <c r="D29" s="138" t="str">
        <f aca="false">IF(B29="","",IF(OR($C29="КУПК",$C29="КУПК (РП/ЗРП)"),"",VLOOKUP($B29,$B$39:$S$1353,10,0)))</f>
        <v/>
      </c>
      <c r="E29" s="138" t="str">
        <f aca="false">IF($B29="","",IF(OR($C29="МП",$C29="РУПК"),"",VLOOKUP($B29,$B$39:$S$1353,10,0)))</f>
        <v/>
      </c>
      <c r="F29" s="138" t="str">
        <f aca="false">IF($B29="","",IF(OR($C29="МП",$C29="РУПК"),"",VLOOKUP($B29,$B$39:$S$1353,13,0)))</f>
        <v/>
      </c>
      <c r="G29" s="138" t="str">
        <f aca="false">IF($B29="","",IF(OR($C29="МП",$C29="РУПК"),"",VLOOKUP($B29,$B$39:$S$1353,16,0)))</f>
        <v/>
      </c>
      <c r="H29" s="138" t="str">
        <f aca="false">IF(B29="","",SUM(D29:G29))</f>
        <v/>
      </c>
    </row>
    <row r="30" customFormat="false" ht="15" hidden="false" customHeight="false" outlineLevel="0" collapsed="false">
      <c r="B30" s="136" t="str">
        <f aca="false" t="array" ref="B30:B30">IFERROR(INDEX(калькулятор!$K$3:$OJ$3,SMALL(IF(COUNTIF($B$3:B29,калькулятор!$K$3:$OJ$3)=0,COLUMN(калькулятор!$K$3:$OJ$3)-COLUMN(калькулятор!$K$3)+1),1)),"")</f>
        <v/>
      </c>
      <c r="C30" s="137" t="str">
        <f aca="false">IFERROR(INDEX(калькулятор!$1:$3,1,MATCH(B30,калькулятор!$3:$3,0)),"")</f>
        <v/>
      </c>
      <c r="D30" s="138" t="str">
        <f aca="false">IF(B30="","",IF(OR($C30="КУПК",$C30="КУПК (РП/ЗРП)"),"",VLOOKUP($B30,$B$39:$S$1353,10,0)))</f>
        <v/>
      </c>
      <c r="E30" s="138" t="str">
        <f aca="false">IF($B30="","",IF(OR($C30="МП",$C30="РУПК"),"",VLOOKUP($B30,$B$39:$S$1353,10,0)))</f>
        <v/>
      </c>
      <c r="F30" s="138" t="str">
        <f aca="false">IF($B30="","",IF(OR($C30="МП",$C30="РУПК"),"",VLOOKUP($B30,$B$39:$S$1353,13,0)))</f>
        <v/>
      </c>
      <c r="G30" s="138" t="str">
        <f aca="false">IF($B30="","",IF(OR($C30="МП",$C30="РУПК"),"",VLOOKUP($B30,$B$39:$S$1353,16,0)))</f>
        <v/>
      </c>
      <c r="H30" s="138" t="str">
        <f aca="false">IF(B30="","",SUM(D30:G30))</f>
        <v/>
      </c>
    </row>
    <row r="31" customFormat="false" ht="15" hidden="false" customHeight="false" outlineLevel="0" collapsed="false">
      <c r="B31" s="136" t="str">
        <f aca="false" t="array" ref="B31:B31">IFERROR(INDEX(калькулятор!$K$3:$OJ$3,SMALL(IF(COUNTIF($B$3:B30,калькулятор!$K$3:$OJ$3)=0,COLUMN(калькулятор!$K$3:$OJ$3)-COLUMN(калькулятор!$K$3)+1),1)),"")</f>
        <v/>
      </c>
      <c r="C31" s="137" t="str">
        <f aca="false">IFERROR(INDEX(калькулятор!$1:$3,1,MATCH(B31,калькулятор!$3:$3,0)),"")</f>
        <v/>
      </c>
      <c r="D31" s="138" t="str">
        <f aca="false">IF(B31="","",IF(OR($C31="КУПК",$C31="КУПК (РП/ЗРП)"),"",VLOOKUP($B31,$B$39:$S$1353,10,0)))</f>
        <v/>
      </c>
      <c r="E31" s="138" t="str">
        <f aca="false">IF($B31="","",IF(OR($C31="МП",$C31="РУПК"),"",VLOOKUP($B31,$B$39:$S$1353,10,0)))</f>
        <v/>
      </c>
      <c r="F31" s="138" t="str">
        <f aca="false">IF($B31="","",IF(OR($C31="МП",$C31="РУПК"),"",VLOOKUP($B31,$B$39:$S$1353,13,0)))</f>
        <v/>
      </c>
      <c r="G31" s="138" t="str">
        <f aca="false">IF($B31="","",IF(OR($C31="МП",$C31="РУПК"),"",VLOOKUP($B31,$B$39:$S$1353,16,0)))</f>
        <v/>
      </c>
      <c r="H31" s="138" t="str">
        <f aca="false">IF(B31="","",SUM(D31:G31))</f>
        <v/>
      </c>
    </row>
    <row r="32" customFormat="false" ht="15" hidden="false" customHeight="false" outlineLevel="0" collapsed="false">
      <c r="B32" s="136" t="str">
        <f aca="false" t="array" ref="B32:B32">IFERROR(INDEX(калькулятор!$K$3:$OJ$3,SMALL(IF(COUNTIF($B$3:B31,калькулятор!$K$3:$OJ$3)=0,COLUMN(калькулятор!$K$3:$OJ$3)-COLUMN(калькулятор!$K$3)+1),1)),"")</f>
        <v/>
      </c>
      <c r="C32" s="137" t="str">
        <f aca="false">IFERROR(INDEX(калькулятор!$1:$3,1,MATCH(B32,калькулятор!$3:$3,0)),"")</f>
        <v/>
      </c>
      <c r="D32" s="138" t="str">
        <f aca="false">IF(B32="","",IF(OR($C32="КУПК",$C32="КУПК (РП/ЗРП)"),"",VLOOKUP($B32,$B$39:$S$1353,10,0)))</f>
        <v/>
      </c>
      <c r="E32" s="138" t="str">
        <f aca="false">IF($B32="","",IF(OR($C32="МП",$C32="РУПК"),"",VLOOKUP($B32,$B$39:$S$1353,10,0)))</f>
        <v/>
      </c>
      <c r="F32" s="138" t="str">
        <f aca="false">IF($B32="","",IF(OR($C32="МП",$C32="РУПК"),"",VLOOKUP($B32,$B$39:$S$1353,13,0)))</f>
        <v/>
      </c>
      <c r="G32" s="138" t="str">
        <f aca="false">IF($B32="","",IF(OR($C32="МП",$C32="РУПК"),"",VLOOKUP($B32,$B$39:$S$1353,16,0)))</f>
        <v/>
      </c>
      <c r="H32" s="138" t="str">
        <f aca="false">IF(B32="","",SUM(D32:G32))</f>
        <v/>
      </c>
    </row>
    <row r="33" customFormat="false" ht="15" hidden="false" customHeight="false" outlineLevel="0" collapsed="false">
      <c r="B33" s="136" t="str">
        <f aca="false" t="array" ref="B33:B33">IFERROR(INDEX(калькулятор!$K$3:$OJ$3,SMALL(IF(COUNTIF($B$3:B32,калькулятор!$K$3:$OJ$3)=0,COLUMN(калькулятор!$K$3:$OJ$3)-COLUMN(калькулятор!$K$3)+1),1)),"")</f>
        <v/>
      </c>
      <c r="C33" s="137" t="str">
        <f aca="false">IFERROR(INDEX(калькулятор!$1:$3,1,MATCH(B33,калькулятор!$3:$3,0)),"")</f>
        <v/>
      </c>
      <c r="D33" s="138" t="str">
        <f aca="false">IF(B33="","",IF(OR($C33="КУПК",$C33="КУПК (РП/ЗРП)"),"",VLOOKUP($B33,$B$39:$S$1353,10,0)))</f>
        <v/>
      </c>
      <c r="E33" s="138" t="str">
        <f aca="false">IF($B33="","",IF(OR($C33="МП",$C33="РУПК"),"",VLOOKUP($B33,$B$39:$S$1353,10,0)))</f>
        <v/>
      </c>
      <c r="F33" s="138" t="str">
        <f aca="false">IF($B33="","",IF(OR($C33="МП",$C33="РУПК"),"",VLOOKUP($B33,$B$39:$S$1353,13,0)))</f>
        <v/>
      </c>
      <c r="G33" s="138" t="str">
        <f aca="false">IF($B33="","",IF(OR($C33="МП",$C33="РУПК"),"",VLOOKUP($B33,$B$39:$S$1353,16,0)))</f>
        <v/>
      </c>
      <c r="H33" s="138" t="str">
        <f aca="false">IF(B33="","",SUM(D33:G33))</f>
        <v/>
      </c>
    </row>
    <row r="34" customFormat="false" ht="15" hidden="false" customHeight="false" outlineLevel="0" collapsed="false">
      <c r="B34" s="136" t="str">
        <f aca="false" t="array" ref="B34:B34">IFERROR(INDEX(калькулятор!$K$3:$OJ$3,SMALL(IF(COUNTIF($B$3:B33,калькулятор!$K$3:$OJ$3)=0,COLUMN(калькулятор!$K$3:$OJ$3)-COLUMN(калькулятор!$K$3)+1),1)),"")</f>
        <v/>
      </c>
      <c r="C34" s="137" t="str">
        <f aca="false">IFERROR(INDEX(калькулятор!$1:$3,1,MATCH(B34,калькулятор!$3:$3,0)),"")</f>
        <v/>
      </c>
      <c r="D34" s="138" t="str">
        <f aca="false">IF(B34="","",IF(OR($C34="КУПК",$C34="КУПК (РП/ЗРП)"),"",VLOOKUP($B34,$B$39:$S$1353,10,0)))</f>
        <v/>
      </c>
      <c r="E34" s="138" t="str">
        <f aca="false">IF($B34="","",IF(OR($C34="МП",$C34="РУПК"),"",VLOOKUP($B34,$B$39:$S$1353,10,0)))</f>
        <v/>
      </c>
      <c r="F34" s="138" t="str">
        <f aca="false">IF($B34="","",IF(OR($C34="МП",$C34="РУПК"),"",VLOOKUP($B34,$B$39:$S$1353,13,0)))</f>
        <v/>
      </c>
      <c r="G34" s="138" t="str">
        <f aca="false">IF($B34="","",IF(OR($C34="МП",$C34="РУПК"),"",VLOOKUP($B34,$B$39:$S$1353,16,0)))</f>
        <v/>
      </c>
      <c r="H34" s="138" t="str">
        <f aca="false">IF(B34="","",SUM(D34:G34))</f>
        <v/>
      </c>
    </row>
    <row r="35" customFormat="false" ht="15" hidden="false" customHeight="false" outlineLevel="0" collapsed="false">
      <c r="B35" s="136" t="str">
        <f aca="false" t="array" ref="B35:B35">IFERROR(INDEX(калькулятор!$K$3:$OJ$3,SMALL(IF(COUNTIF($B$3:B34,калькулятор!$K$3:$OJ$3)=0,COLUMN(калькулятор!$K$3:$OJ$3)-COLUMN(калькулятор!$K$3)+1),1)),"")</f>
        <v/>
      </c>
      <c r="C35" s="137" t="str">
        <f aca="false">IFERROR(INDEX(калькулятор!$1:$3,1,MATCH(B35,калькулятор!$3:$3,0)),"")</f>
        <v/>
      </c>
      <c r="D35" s="138" t="str">
        <f aca="false">IF(B35="","",IF(OR($C35="КУПК",$C35="КУПК (РП/ЗРП)"),"",VLOOKUP($B35,$B$39:$S$1353,10,0)))</f>
        <v/>
      </c>
      <c r="E35" s="138" t="str">
        <f aca="false">IF($B35="","",IF(OR($C35="МП",$C35="РУПК"),"",VLOOKUP($B35,$B$39:$S$1353,10,0)))</f>
        <v/>
      </c>
      <c r="F35" s="138" t="str">
        <f aca="false">IF($B35="","",IF(OR($C35="МП",$C35="РУПК"),"",VLOOKUP($B35,$B$39:$S$1353,13,0)))</f>
        <v/>
      </c>
      <c r="G35" s="138" t="str">
        <f aca="false">IF($B35="","",IF(OR($C35="МП",$C35="РУПК"),"",VLOOKUP($B35,$B$39:$S$1353,16,0)))</f>
        <v/>
      </c>
      <c r="H35" s="138" t="str">
        <f aca="false">IF(B35="","",SUM(D35:G35))</f>
        <v/>
      </c>
    </row>
    <row r="36" customFormat="false" ht="15" hidden="false" customHeight="false" outlineLevel="0" collapsed="false">
      <c r="B36" s="136" t="str">
        <f aca="false" t="array" ref="B36:B36">IFERROR(INDEX(калькулятор!$K$3:$OJ$3,SMALL(IF(COUNTIF($B$3:B35,калькулятор!$K$3:$OJ$3)=0,COLUMN(калькулятор!$K$3:$OJ$3)-COLUMN(калькулятор!$K$3)+1),1)),"")</f>
        <v/>
      </c>
      <c r="C36" s="137" t="str">
        <f aca="false">IFERROR(INDEX(калькулятор!$1:$3,1,MATCH(B36,калькулятор!$3:$3,0)),"")</f>
        <v/>
      </c>
      <c r="D36" s="138" t="str">
        <f aca="false">IF(B36="","",IF(OR($C36="КУПК",$C36="КУПК (РП/ЗРП)"),"",VLOOKUP($B36,$B$39:$S$1353,10,0)))</f>
        <v/>
      </c>
      <c r="E36" s="138" t="str">
        <f aca="false">IF($B36="","",IF(OR($C36="МП",$C36="РУПК"),"",VLOOKUP($B36,$B$39:$S$1353,10,0)))</f>
        <v/>
      </c>
      <c r="F36" s="138" t="str">
        <f aca="false">IF($B36="","",IF(OR($C36="МП",$C36="РУПК"),"",VLOOKUP($B36,$B$39:$S$1353,13,0)))</f>
        <v/>
      </c>
      <c r="G36" s="138" t="str">
        <f aca="false">IF($B36="","",IF(OR($C36="МП",$C36="РУПК"),"",VLOOKUP($B36,$B$39:$S$1353,16,0)))</f>
        <v/>
      </c>
      <c r="H36" s="138" t="str">
        <f aca="false">IF(B36="","",SUM(D36:G36))</f>
        <v/>
      </c>
    </row>
    <row r="37" customFormat="false" ht="15" hidden="false" customHeight="false" outlineLevel="0" collapsed="false">
      <c r="B37" s="136" t="str">
        <f aca="false" t="array" ref="B37:B37">IFERROR(INDEX(калькулятор!$K$3:$OJ$3,SMALL(IF(COUNTIF($B$3:B36,калькулятор!$K$3:$OJ$3)=0,COLUMN(калькулятор!$K$3:$OJ$3)-COLUMN(калькулятор!$K$3)+1),1)),"")</f>
        <v/>
      </c>
      <c r="C37" s="137" t="str">
        <f aca="false">IFERROR(INDEX(калькулятор!$1:$3,1,MATCH(B37,калькулятор!$3:$3,0)),"")</f>
        <v/>
      </c>
      <c r="D37" s="138" t="str">
        <f aca="false">IF(B37="","",IF(OR($C37="КУПК",$C37="КУПК (РП/ЗРП)"),"",VLOOKUP($B37,$B$39:$S$1353,10,0)))</f>
        <v/>
      </c>
      <c r="E37" s="138" t="str">
        <f aca="false">IF($B37="","",IF(OR($C37="МП",$C37="РУПК"),"",VLOOKUP($B37,$B$39:$S$1353,10,0)))</f>
        <v/>
      </c>
      <c r="F37" s="138" t="str">
        <f aca="false">IF($B37="","",IF(OR($C37="МП",$C37="РУПК"),"",VLOOKUP($B37,$B$39:$S$1353,13,0)))</f>
        <v/>
      </c>
      <c r="G37" s="138" t="str">
        <f aca="false">IF($B37="","",IF(OR($C37="МП",$C37="РУПК"),"",VLOOKUP($B37,$B$39:$S$1353,16,0)))</f>
        <v/>
      </c>
      <c r="H37" s="138" t="str">
        <f aca="false">IF(B37="","",SUM(D37:G37))</f>
        <v/>
      </c>
    </row>
    <row r="38" customFormat="false" ht="15.75" hidden="false" customHeight="true" outlineLevel="0" collapsed="false">
      <c r="C38" s="139"/>
    </row>
    <row r="39" s="140" customFormat="true" ht="30" hidden="false" customHeight="true" outlineLevel="0" collapsed="false">
      <c r="B39" s="141" t="str">
        <f aca="false" t="array" ref="B39:B39">INDEX($B$6:$B$37,SMALL(IF(COUNTIF($B$38:$B38,$B$6:$B$37)=0,ROW($B$6:$B$37)-ROW($B$6)+1),1))</f>
        <v>Тестова Двадцать</v>
      </c>
      <c r="C39" s="142" t="str">
        <f aca="false">INDEX(калькулятор!$1:$3,1,MATCH(B39,калькулятор!$3:$3,0))</f>
        <v>РУПК</v>
      </c>
      <c r="D39" s="143"/>
      <c r="E39" s="143"/>
      <c r="F39" s="144"/>
      <c r="G39" s="144"/>
      <c r="H39" s="144"/>
      <c r="I39" s="145" t="s">
        <v>50</v>
      </c>
      <c r="J39" s="143" t="s">
        <v>51</v>
      </c>
      <c r="K39" s="146" t="n">
        <f aca="false">SUM(K46:K69)</f>
        <v>167058.288459373</v>
      </c>
      <c r="L39" s="147"/>
      <c r="M39" s="147"/>
      <c r="N39" s="146" t="n">
        <f aca="false">SUM(N46:N69)</f>
        <v>0</v>
      </c>
      <c r="O39" s="147"/>
      <c r="P39" s="147"/>
      <c r="Q39" s="146" t="n">
        <f aca="false">SUM(Q46:Q69)</f>
        <v>0</v>
      </c>
      <c r="R39" s="146"/>
      <c r="S39" s="148"/>
      <c r="U39" s="149"/>
      <c r="V39" s="149"/>
      <c r="X39" s="149"/>
      <c r="Y39" s="149"/>
    </row>
    <row r="40" customFormat="false" ht="15" hidden="false" customHeight="false" outlineLevel="0" collapsed="false">
      <c r="B40" s="150"/>
      <c r="C40" s="129" t="s">
        <v>52</v>
      </c>
      <c r="D40" s="151" t="n">
        <f aca="false">HLOOKUP(B39,калькулятор!$3:$14,5,0)</f>
        <v>3603287.67123288</v>
      </c>
      <c r="E40" s="130"/>
      <c r="J40" s="130"/>
      <c r="L40" s="129"/>
      <c r="M40" s="129"/>
      <c r="Q40" s="130"/>
      <c r="S40" s="152"/>
    </row>
    <row r="41" customFormat="false" ht="15" hidden="false" customHeight="false" outlineLevel="0" collapsed="false">
      <c r="B41" s="153"/>
      <c r="D41" s="130"/>
      <c r="E41" s="130"/>
      <c r="J41" s="130"/>
      <c r="L41" s="129"/>
      <c r="M41" s="129"/>
      <c r="Q41" s="130"/>
      <c r="S41" s="152"/>
    </row>
    <row r="42" customFormat="false" ht="15" hidden="false" customHeight="false" outlineLevel="0" collapsed="false">
      <c r="B42" s="154"/>
      <c r="D42" s="130"/>
      <c r="E42" s="130"/>
      <c r="J42" s="130"/>
      <c r="L42" s="129"/>
      <c r="M42" s="129"/>
      <c r="Q42" s="130"/>
      <c r="S42" s="152"/>
    </row>
    <row r="43" customFormat="false" ht="29.25" hidden="false" customHeight="true" outlineLevel="0" collapsed="false">
      <c r="B43" s="153"/>
      <c r="D43" s="130"/>
      <c r="E43" s="155"/>
      <c r="I43" s="156" t="str">
        <f aca="false">IF(OR(C39="КУПК",C39="КУПК (РП/ЗРП)"),"1 выплата (50%)","Выплата")</f>
        <v>Выплата</v>
      </c>
      <c r="J43" s="156"/>
      <c r="K43" s="156"/>
      <c r="L43" s="157" t="str">
        <f aca="false">IF(OR(C39="КУПК",C39="КУПК (РП/ЗРП)"),"2 выплата (25%)","Выплата")</f>
        <v>Выплата</v>
      </c>
      <c r="M43" s="157"/>
      <c r="N43" s="157"/>
      <c r="O43" s="158" t="str">
        <f aca="false">IF(OR(C39="КУПК",C39="КУПК (РП/ЗРП)"),"3 выплата (25%)","Выплата")</f>
        <v>Выплата</v>
      </c>
      <c r="P43" s="158"/>
      <c r="Q43" s="158"/>
      <c r="S43" s="152"/>
      <c r="T43" s="130"/>
      <c r="V43" s="129"/>
      <c r="W43" s="130"/>
      <c r="Y43" s="129"/>
    </row>
    <row r="44" customFormat="false" ht="30" hidden="false" customHeight="true" outlineLevel="0" collapsed="false">
      <c r="B44" s="154"/>
      <c r="C44" s="129" t="s">
        <v>53</v>
      </c>
      <c r="D44" s="159" t="n">
        <f aca="false">HLOOKUP(B39,калькулятор!$3:$5,3,0)</f>
        <v>45748</v>
      </c>
      <c r="I44" s="160" t="s">
        <v>54</v>
      </c>
      <c r="J44" s="161"/>
      <c r="K44" s="162" t="n">
        <f aca="false">D67</f>
        <v>46428</v>
      </c>
      <c r="L44" s="163" t="s">
        <v>54</v>
      </c>
      <c r="M44" s="163"/>
      <c r="N44" s="163" t="str">
        <f aca="false">D68</f>
        <v/>
      </c>
      <c r="O44" s="163" t="s">
        <v>54</v>
      </c>
      <c r="P44" s="163"/>
      <c r="Q44" s="163" t="str">
        <f aca="false">D69</f>
        <v/>
      </c>
      <c r="S44" s="152"/>
      <c r="T44" s="130"/>
      <c r="V44" s="129"/>
      <c r="W44" s="130"/>
      <c r="Y44" s="129"/>
    </row>
    <row r="45" customFormat="false" ht="67.5" hidden="false" customHeight="true" outlineLevel="0" collapsed="false">
      <c r="B45" s="164" t="s">
        <v>55</v>
      </c>
      <c r="C45" s="165" t="s">
        <v>56</v>
      </c>
      <c r="D45" s="166" t="s">
        <v>57</v>
      </c>
      <c r="E45" s="166" t="s">
        <v>58</v>
      </c>
      <c r="F45" s="167" t="s">
        <v>59</v>
      </c>
      <c r="H45" s="168"/>
      <c r="I45" s="169" t="s">
        <v>60</v>
      </c>
      <c r="J45" s="163" t="s">
        <v>61</v>
      </c>
      <c r="K45" s="170" t="s">
        <v>62</v>
      </c>
      <c r="L45" s="169" t="s">
        <v>60</v>
      </c>
      <c r="M45" s="163" t="s">
        <v>61</v>
      </c>
      <c r="N45" s="171" t="s">
        <v>62</v>
      </c>
      <c r="O45" s="172" t="s">
        <v>60</v>
      </c>
      <c r="P45" s="163" t="s">
        <v>61</v>
      </c>
      <c r="Q45" s="171" t="s">
        <v>62</v>
      </c>
      <c r="S45" s="152"/>
      <c r="T45" s="130"/>
      <c r="V45" s="129"/>
      <c r="W45" s="130"/>
      <c r="Y45" s="129"/>
    </row>
    <row r="46" customFormat="false" ht="15" hidden="false" customHeight="false" outlineLevel="0" collapsed="false">
      <c r="B46" s="173" t="str">
        <f aca="false">IF(AND(калькулятор!D$16&gt;0,калькулятор!D$16&lt;&gt;"Ключевая"),калькулятор!E$16,"")</f>
        <v>Мотивационная веха 1</v>
      </c>
      <c r="C46" s="174" t="n">
        <f aca="false">IFERROR(VLOOKUP(B46,калькулятор!E:OJ,MATCH($B39,калькулятор!$3:$3,0)-5,0),"")</f>
        <v>402367.123287671</v>
      </c>
      <c r="D46" s="175" t="n">
        <f aca="false">IFERROR(IF(VLOOKUP(B46,калькулятор!E:J,6,0)=0,"",VLOOKUP(B46,калькулятор!E:J,6,0)),"")</f>
        <v>45879</v>
      </c>
      <c r="E46" s="176" t="n">
        <f aca="false">IF(B46="Финальная веха*",0,IF(D46="","",IF(B46="","",IFERROR(C46/67*33,""))))</f>
        <v>198180.821917808</v>
      </c>
      <c r="F46" s="177"/>
      <c r="H46" s="130"/>
      <c r="I46" s="178" t="n">
        <v>0.16</v>
      </c>
      <c r="J46" s="179" t="n">
        <f aca="false">IFERROR(K44-D46,"")</f>
        <v>549</v>
      </c>
      <c r="K46" s="180" t="n">
        <f aca="false">IFERROR(IF(OR(C39="КУПК",C39="КУПК (РП/ЗРП)"),E46*I46/365*J46*0.5,E46*I46/365*J46),"")</f>
        <v>47693.7079376994</v>
      </c>
      <c r="L46" s="178" t="n">
        <f aca="false">I46</f>
        <v>0.16</v>
      </c>
      <c r="M46" s="179" t="str">
        <f aca="false">IFERROR(N44-$D46,"")</f>
        <v/>
      </c>
      <c r="N46" s="180" t="n">
        <f aca="false">IFERROR(IF(OR(C39="КУПК",C39="КУПК (РП/ЗРП)"),E46*L46/365*M46*0.25,0),"")</f>
        <v>0</v>
      </c>
      <c r="O46" s="181" t="n">
        <f aca="false">I46</f>
        <v>0.16</v>
      </c>
      <c r="P46" s="179" t="str">
        <f aca="false">IFERROR(Q44-$D46,"")</f>
        <v/>
      </c>
      <c r="Q46" s="180" t="n">
        <f aca="false">IFERROR(IF(OR(C39="КУПК",C39="КУПК (РП/ЗРП)"),E46*O46/365*P46*0.25,0),"")</f>
        <v>0</v>
      </c>
      <c r="S46" s="152"/>
      <c r="T46" s="130"/>
      <c r="V46" s="129"/>
      <c r="W46" s="130"/>
      <c r="Y46" s="129"/>
    </row>
    <row r="47" customFormat="false" ht="15" hidden="false" customHeight="false" outlineLevel="0" collapsed="false">
      <c r="B47" s="173" t="str">
        <f aca="false">IF(AND(калькулятор!D$17&gt;0,калькулятор!D$17&lt;&gt;"Ключевая"),калькулятор!E$17,"")</f>
        <v>Мотивационная веха 2</v>
      </c>
      <c r="C47" s="174" t="n">
        <f aca="false">IFERROR(VLOOKUP(B47,калькулятор!E:OJ,MATCH($B39,калькулятор!$3:$3,0)-5,0),"")</f>
        <v>402367.123287671</v>
      </c>
      <c r="D47" s="175" t="n">
        <f aca="false">IFERROR(IF(VLOOKUP(B47,калькулятор!E:J,6,0)=0,"",VLOOKUP(B47,калькулятор!E:J,6,0)),"")</f>
        <v>45971</v>
      </c>
      <c r="E47" s="176" t="n">
        <f aca="false">IF(B47="Финальная веха*",0,IF(D47="","",IF(B47="","",IFERROR(C47/67*33,""))))</f>
        <v>198180.821917808</v>
      </c>
      <c r="F47" s="177"/>
      <c r="H47" s="130"/>
      <c r="I47" s="178" t="n">
        <v>0.16</v>
      </c>
      <c r="J47" s="179" t="n">
        <f aca="false">IFERROR(K44-D47,"")</f>
        <v>457</v>
      </c>
      <c r="K47" s="180" t="n">
        <f aca="false">IFERROR(IF(OR(C39="КУПК",C39="КУПК (РП/ЗРП)"),E47*I47/365*J47*0.5,E47*I47/365*J47),"")</f>
        <v>39701.3197222744</v>
      </c>
      <c r="L47" s="178" t="n">
        <f aca="false">I47</f>
        <v>0.16</v>
      </c>
      <c r="M47" s="179" t="str">
        <f aca="false">IFERROR(N44-$D47,"")</f>
        <v/>
      </c>
      <c r="N47" s="180" t="n">
        <f aca="false">IFERROR(IF(OR(C39="КУПК",C39="КУПК (РП/ЗРП)"),E47*L47/365*M47*0.25,0),"")</f>
        <v>0</v>
      </c>
      <c r="O47" s="181" t="n">
        <f aca="false">I47</f>
        <v>0.16</v>
      </c>
      <c r="P47" s="179" t="str">
        <f aca="false">IFERROR(Q44-$D47,"")</f>
        <v/>
      </c>
      <c r="Q47" s="180" t="n">
        <f aca="false">IFERROR(IF(OR(C39="КУПК",C39="КУПК (РП/ЗРП)"),E47*O47/365*P47*0.25,0),"")</f>
        <v>0</v>
      </c>
      <c r="S47" s="152"/>
      <c r="T47" s="130"/>
      <c r="V47" s="129"/>
      <c r="W47" s="130"/>
      <c r="Y47" s="129"/>
    </row>
    <row r="48" customFormat="false" ht="15" hidden="false" customHeight="false" outlineLevel="0" collapsed="false">
      <c r="B48" s="173" t="str">
        <f aca="false">IF(AND(калькулятор!D$18&gt;0,калькулятор!D$18&lt;&gt;"Ключевая"),калькулятор!E$18,"")</f>
        <v>Мотивационная веха 3</v>
      </c>
      <c r="C48" s="174" t="n">
        <f aca="false">IFERROR(VLOOKUP(B48,калькулятор!E:OJ,MATCH($B39,калькулятор!$3:$3,0)-5,0),"")</f>
        <v>402367.123287671</v>
      </c>
      <c r="D48" s="175" t="n">
        <f aca="false">IFERROR(IF(VLOOKUP(B48,калькулятор!E:J,6,0)=0,"",VLOOKUP(B48,калькулятор!E:J,6,0)),"")</f>
        <v>46063</v>
      </c>
      <c r="E48" s="176" t="n">
        <f aca="false">IF(B48="Финальная веха*",0,IF(D48="","",IF(B48="","",IFERROR(C48/67*33,""))))</f>
        <v>198180.821917808</v>
      </c>
      <c r="F48" s="177"/>
      <c r="H48" s="130"/>
      <c r="I48" s="178" t="n">
        <v>0.16</v>
      </c>
      <c r="J48" s="179" t="n">
        <f aca="false">IFERROR(K44-D48,"")</f>
        <v>365</v>
      </c>
      <c r="K48" s="180" t="n">
        <f aca="false">IFERROR(IF(OR(C39="КУПК",C39="КУПК (РП/ЗРП)"),E48*I48/365*J48*0.5,E48*I48/365*J48),"")</f>
        <v>31708.9315068493</v>
      </c>
      <c r="L48" s="178" t="n">
        <f aca="false">I48</f>
        <v>0.16</v>
      </c>
      <c r="M48" s="179" t="str">
        <f aca="false">IFERROR(N44-$D48,"")</f>
        <v/>
      </c>
      <c r="N48" s="180" t="n">
        <f aca="false">IFERROR(IF(OR(C39="КУПК",C39="КУПК (РП/ЗРП)"),E48*L48/365*M48*0.25,0),"")</f>
        <v>0</v>
      </c>
      <c r="O48" s="181" t="n">
        <f aca="false">I48</f>
        <v>0.16</v>
      </c>
      <c r="P48" s="179" t="str">
        <f aca="false">IFERROR(Q44-$D48,"")</f>
        <v/>
      </c>
      <c r="Q48" s="180" t="n">
        <f aca="false">IFERROR(IF(OR(C39="КУПК",C39="КУПК (РП/ЗРП)"),E48*O48/365*P48*0.25,0),"")</f>
        <v>0</v>
      </c>
      <c r="S48" s="152"/>
      <c r="T48" s="130"/>
      <c r="V48" s="129"/>
      <c r="W48" s="130"/>
      <c r="Y48" s="129"/>
    </row>
    <row r="49" customFormat="false" ht="15" hidden="false" customHeight="false" outlineLevel="0" collapsed="false">
      <c r="B49" s="173" t="str">
        <f aca="false">IF(AND(калькулятор!D$19&gt;0,калькулятор!D$19&lt;&gt;"Ключевая"),калькулятор!E$19,"")</f>
        <v>Мотивационная веха 4</v>
      </c>
      <c r="C49" s="174" t="n">
        <f aca="false">IFERROR(VLOOKUP(B49,калькулятор!E:OJ,MATCH($B39,калькулятор!$3:$3,0)-5,0),"")</f>
        <v>402367.123287671</v>
      </c>
      <c r="D49" s="175" t="n">
        <f aca="false">IFERROR(IF(VLOOKUP(B49,калькулятор!E:J,6,0)=0,"",VLOOKUP(B49,калькулятор!E:J,6,0)),"")</f>
        <v>46152</v>
      </c>
      <c r="E49" s="176" t="n">
        <f aca="false">IF(B49="Финальная веха*",0,IF(D49="","",IF(B49="","",IFERROR(C49/67*33,""))))</f>
        <v>198180.821917808</v>
      </c>
      <c r="F49" s="177"/>
      <c r="H49" s="130"/>
      <c r="I49" s="178" t="n">
        <v>0.16</v>
      </c>
      <c r="J49" s="179" t="n">
        <f aca="false">IFERROR(K44-D49,"")</f>
        <v>276</v>
      </c>
      <c r="K49" s="180" t="n">
        <f aca="false">IFERROR(IF(OR(C39="КУПК",C39="КУПК (РП/ЗРП)"),E49*I49/365*J49*0.5,E49*I49/365*J49),"")</f>
        <v>23977.1646462751</v>
      </c>
      <c r="L49" s="178" t="n">
        <f aca="false">I49</f>
        <v>0.16</v>
      </c>
      <c r="M49" s="179" t="str">
        <f aca="false">IFERROR(N44-$D49,"")</f>
        <v/>
      </c>
      <c r="N49" s="180" t="n">
        <f aca="false">IFERROR(IF(OR(C39="КУПК",C39="КУПК (РП/ЗРП)"),E49*L49/365*M49*0.25,0),"")</f>
        <v>0</v>
      </c>
      <c r="O49" s="181" t="n">
        <f aca="false">I49</f>
        <v>0.16</v>
      </c>
      <c r="P49" s="179" t="str">
        <f aca="false">IFERROR(Q44-$D49,"")</f>
        <v/>
      </c>
      <c r="Q49" s="180" t="n">
        <f aca="false">IFERROR(IF(OR(C39="КУПК",C39="КУПК (РП/ЗРП)"),E49*O49/365*P49*0.25,0),"")</f>
        <v>0</v>
      </c>
      <c r="S49" s="152"/>
      <c r="T49" s="130"/>
      <c r="V49" s="129"/>
      <c r="W49" s="130"/>
      <c r="Y49" s="129"/>
    </row>
    <row r="50" customFormat="false" ht="15" hidden="false" customHeight="false" outlineLevel="0" collapsed="false">
      <c r="B50" s="173" t="str">
        <f aca="false">IF(AND(калькулятор!D$20&gt;0,калькулятор!D$20&lt;&gt;"Ключевая"),калькулятор!E$20,"")</f>
        <v>Мотивационная веха 5</v>
      </c>
      <c r="C50" s="174" t="n">
        <f aca="false">IFERROR(VLOOKUP(B50,калькулятор!E:OJ,MATCH($B39,калькулятор!$3:$3,0)-5,0),"")</f>
        <v>402367.123287671</v>
      </c>
      <c r="D50" s="175" t="n">
        <f aca="false">IFERROR(IF(VLOOKUP(B50,калькулятор!E:J,6,0)=0,"",VLOOKUP(B50,калькулятор!E:J,6,0)),"")</f>
        <v>46244</v>
      </c>
      <c r="E50" s="176" t="n">
        <f aca="false">IF(B50="Финальная веха*",0,IF(D50="","",IF(B50="","",IFERROR(C50/67*33,""))))</f>
        <v>198180.821917808</v>
      </c>
      <c r="F50" s="182"/>
      <c r="H50" s="130"/>
      <c r="I50" s="178" t="n">
        <v>0.16</v>
      </c>
      <c r="J50" s="179" t="n">
        <f aca="false">IFERROR(K44-D50,"")</f>
        <v>184</v>
      </c>
      <c r="K50" s="180" t="n">
        <f aca="false">IFERROR(IF(OR(C39="КУПК",C39="КУПК (РП/ЗРП)"),E50*I50/365*J50*0.5,E50*I50/365*J50),"")</f>
        <v>15984.7764308501</v>
      </c>
      <c r="L50" s="178" t="n">
        <f aca="false">I50</f>
        <v>0.16</v>
      </c>
      <c r="M50" s="179" t="str">
        <f aca="false">IFERROR(N44-$D50,"")</f>
        <v/>
      </c>
      <c r="N50" s="180" t="n">
        <f aca="false">IFERROR(IF(OR(C39="КУПК",C39="КУПК (РП/ЗРП)"),E50*L50/365*M50*0.25,0),"")</f>
        <v>0</v>
      </c>
      <c r="O50" s="181" t="n">
        <f aca="false">I50</f>
        <v>0.16</v>
      </c>
      <c r="P50" s="179" t="str">
        <f aca="false">IFERROR(Q44-$D50,"")</f>
        <v/>
      </c>
      <c r="Q50" s="180" t="n">
        <f aca="false">IFERROR(IF(OR(C39="КУПК",C39="КУПК (РП/ЗРП)"),E50*O50/365*P50*0.25,0),"")</f>
        <v>0</v>
      </c>
      <c r="S50" s="152"/>
      <c r="T50" s="130"/>
      <c r="V50" s="129"/>
      <c r="W50" s="130"/>
      <c r="Y50" s="129"/>
    </row>
    <row r="51" customFormat="false" ht="15" hidden="false" customHeight="false" outlineLevel="0" collapsed="false">
      <c r="B51" s="173" t="str">
        <f aca="false">IF(AND(калькулятор!D$21&gt;0,калькулятор!D$21&lt;&gt;"Ключевая"),калькулятор!E$21,"")</f>
        <v>Мотивационная веха 6</v>
      </c>
      <c r="C51" s="174" t="n">
        <f aca="false">IFERROR(VLOOKUP(B51,калькулятор!E:OJ,MATCH($B39,калькулятор!$3:$3,0)-5,0),"")</f>
        <v>402367.123287671</v>
      </c>
      <c r="D51" s="175" t="n">
        <f aca="false">IFERROR(IF(VLOOKUP(B51,калькулятор!E:J,6,0)=0,"",VLOOKUP(B51,калькулятор!E:J,6,0)),"")</f>
        <v>46336</v>
      </c>
      <c r="E51" s="176" t="n">
        <f aca="false">IF(B51="Финальная веха*",0,IF(D51="","",IF(B51="","",IFERROR(C51/67*33,""))))</f>
        <v>198180.821917808</v>
      </c>
      <c r="F51" s="177"/>
      <c r="H51" s="130"/>
      <c r="I51" s="178" t="n">
        <v>0.16</v>
      </c>
      <c r="J51" s="179" t="n">
        <f aca="false">IFERROR(K44-D51,"")</f>
        <v>92</v>
      </c>
      <c r="K51" s="180" t="n">
        <f aca="false">IFERROR(IF(OR(C39="КУПК",C39="КУПК (РП/ЗРП)"),E51*I51/365*J51*0.5,E51*I51/365*J51),"")</f>
        <v>7992.38821542503</v>
      </c>
      <c r="L51" s="178" t="n">
        <f aca="false">I51</f>
        <v>0.16</v>
      </c>
      <c r="M51" s="179" t="str">
        <f aca="false">IFERROR(N44-$D51,"")</f>
        <v/>
      </c>
      <c r="N51" s="180" t="n">
        <f aca="false">IFERROR(IF(OR(C39="КУПК",C39="КУПК (РП/ЗРП)"),E51*L51/365*M51*0.25,0),"")</f>
        <v>0</v>
      </c>
      <c r="O51" s="181" t="n">
        <f aca="false">I51</f>
        <v>0.16</v>
      </c>
      <c r="P51" s="179" t="str">
        <f aca="false">IFERROR(Q44-$D51,"")</f>
        <v/>
      </c>
      <c r="Q51" s="180" t="n">
        <f aca="false">IFERROR(IF(OR(C39="КУПК",C39="КУПК (РП/ЗРП)"),E51*O51/365*P51*0.25,0),"")</f>
        <v>0</v>
      </c>
      <c r="S51" s="152"/>
      <c r="T51" s="130"/>
      <c r="V51" s="129"/>
      <c r="W51" s="130"/>
      <c r="Y51" s="129"/>
    </row>
    <row r="52" customFormat="false" ht="15" hidden="false" customHeight="false" outlineLevel="0" collapsed="false">
      <c r="B52" s="173" t="n">
        <f aca="false">IF(AND(калькулятор!D$22&gt;0,калькулятор!D$22&lt;&gt;"Ключевая"),калькулятор!E$22,"")</f>
        <v>0</v>
      </c>
      <c r="C52" s="174" t="str">
        <f aca="false">IFERROR(VLOOKUP(B52,калькулятор!E:OJ,MATCH($B39,калькулятор!$3:$3,0)-5,0),"")</f>
        <v/>
      </c>
      <c r="D52" s="175" t="str">
        <f aca="false">IFERROR(IF(VLOOKUP(B52,калькулятор!E:J,6,0)=0,"",VLOOKUP(B52,калькулятор!E:J,6,0)),"")</f>
        <v/>
      </c>
      <c r="E52" s="176" t="str">
        <f aca="false">IF(B52="Финальная веха*",0,IF(D52="","",IF(B52="","",IFERROR(C52/67*33,""))))</f>
        <v/>
      </c>
      <c r="F52" s="177"/>
      <c r="H52" s="130"/>
      <c r="I52" s="178"/>
      <c r="J52" s="179" t="str">
        <f aca="false">IFERROR(K44-D52,"")</f>
        <v/>
      </c>
      <c r="K52" s="180" t="str">
        <f aca="false">IFERROR(IF(OR(C39="КУПК",C39="КУПК (РП/ЗРП)"),E52*I52/365*J52*0.5,E52*I52/365*J52),"")</f>
        <v/>
      </c>
      <c r="L52" s="178" t="n">
        <f aca="false">I52</f>
        <v>0</v>
      </c>
      <c r="M52" s="179" t="str">
        <f aca="false">IFERROR(N44-$D52,"")</f>
        <v/>
      </c>
      <c r="N52" s="180" t="n">
        <f aca="false">IFERROR(IF(OR(C39="КУПК",C39="КУПК (РП/ЗРП)"),E52*L52/365*M52*0.25,0),"")</f>
        <v>0</v>
      </c>
      <c r="O52" s="181" t="n">
        <f aca="false">I52</f>
        <v>0</v>
      </c>
      <c r="P52" s="179" t="str">
        <f aca="false">IFERROR(Q44-$D52,"")</f>
        <v/>
      </c>
      <c r="Q52" s="180" t="n">
        <f aca="false">IFERROR(IF(OR(C39="КУПК",C39="КУПК (РП/ЗРП)"),E52*O52/365*P52*0.25,0),"")</f>
        <v>0</v>
      </c>
      <c r="S52" s="152"/>
      <c r="T52" s="130"/>
      <c r="V52" s="129"/>
      <c r="W52" s="130"/>
      <c r="Y52" s="129"/>
    </row>
    <row r="53" customFormat="false" ht="15" hidden="false" customHeight="false" outlineLevel="0" collapsed="false">
      <c r="B53" s="173" t="n">
        <f aca="false">IF(AND(калькулятор!D$23&gt;0,калькулятор!D$23&lt;&gt;"Ключевая"),калькулятор!E$23,"")</f>
        <v>0</v>
      </c>
      <c r="C53" s="174" t="str">
        <f aca="false">IFERROR(VLOOKUP(B53,калькулятор!E:OJ,MATCH($B39,калькулятор!$3:$3,0)-5,0),"")</f>
        <v/>
      </c>
      <c r="D53" s="175" t="str">
        <f aca="false">IFERROR(IF(VLOOKUP(B53,калькулятор!E:J,6,0)=0,"",VLOOKUP(B53,калькулятор!E:J,6,0)),"")</f>
        <v/>
      </c>
      <c r="E53" s="176" t="str">
        <f aca="false">IF(B53="Финальная веха*",0,IF(D53="","",IF(B53="","",IFERROR(C53/67*33,""))))</f>
        <v/>
      </c>
      <c r="F53" s="177"/>
      <c r="H53" s="130"/>
      <c r="I53" s="178"/>
      <c r="J53" s="179" t="str">
        <f aca="false">IFERROR(K44-D53,"")</f>
        <v/>
      </c>
      <c r="K53" s="180" t="str">
        <f aca="false">IFERROR(IF(OR(C39="КУПК",C39="КУПК (РП/ЗРП)"),E53*I53/365*J53*0.5,E53*I53/365*J53),"")</f>
        <v/>
      </c>
      <c r="L53" s="178" t="n">
        <f aca="false">I53</f>
        <v>0</v>
      </c>
      <c r="M53" s="179" t="str">
        <f aca="false">IFERROR(N44-$D53,"")</f>
        <v/>
      </c>
      <c r="N53" s="180" t="n">
        <f aca="false">IFERROR(IF(OR(C39="КУПК",C39="КУПК (РП/ЗРП)"),E53*L53/365*M53*0.25,0),"")</f>
        <v>0</v>
      </c>
      <c r="O53" s="181" t="n">
        <f aca="false">I53</f>
        <v>0</v>
      </c>
      <c r="P53" s="179" t="str">
        <f aca="false">IFERROR(Q44-$D53,"")</f>
        <v/>
      </c>
      <c r="Q53" s="180" t="n">
        <f aca="false">IFERROR(IF(OR(C39="КУПК",C39="КУПК (РП/ЗРП)"),E53*O53/365*P53*0.25,0),"")</f>
        <v>0</v>
      </c>
      <c r="S53" s="152"/>
      <c r="T53" s="130"/>
      <c r="V53" s="129"/>
      <c r="W53" s="130"/>
      <c r="Y53" s="129"/>
    </row>
    <row r="54" customFormat="false" ht="15" hidden="false" customHeight="false" outlineLevel="0" collapsed="false">
      <c r="B54" s="173" t="n">
        <f aca="false">IF(AND(калькулятор!D$24&gt;0,калькулятор!D$24&lt;&gt;"Ключевая"),калькулятор!E$24,"")</f>
        <v>0</v>
      </c>
      <c r="C54" s="174" t="str">
        <f aca="false">IFERROR(VLOOKUP(B54,калькулятор!E:OJ,MATCH($B39,калькулятор!$3:$3,0)-5,0),"")</f>
        <v/>
      </c>
      <c r="D54" s="175" t="str">
        <f aca="false">IFERROR(IF(VLOOKUP(B54,калькулятор!E:J,6,0)=0,"",VLOOKUP(B54,калькулятор!E:J,6,0)),"")</f>
        <v/>
      </c>
      <c r="E54" s="176" t="str">
        <f aca="false">IF(B54="Финальная веха*",0,IF(D54="","",IF(B54="","",IFERROR(C54/67*33,""))))</f>
        <v/>
      </c>
      <c r="F54" s="177"/>
      <c r="H54" s="130"/>
      <c r="I54" s="178"/>
      <c r="J54" s="179" t="str">
        <f aca="false">IFERROR(K44-D54,"")</f>
        <v/>
      </c>
      <c r="K54" s="180" t="str">
        <f aca="false">IFERROR(IF(OR(C39="КУПК",C39="КУПК (РП/ЗРП)"),E54*I54/365*J54*0.5,E54*I54/365*J54),"")</f>
        <v/>
      </c>
      <c r="L54" s="178" t="n">
        <f aca="false">I54</f>
        <v>0</v>
      </c>
      <c r="M54" s="179" t="str">
        <f aca="false">IFERROR(N44-$D54,"")</f>
        <v/>
      </c>
      <c r="N54" s="180" t="n">
        <f aca="false">IFERROR(IF(OR(C39="КУПК",C39="КУПК (РП/ЗРП)"),E54*L54/365*M54*0.25,0),"")</f>
        <v>0</v>
      </c>
      <c r="O54" s="181" t="n">
        <f aca="false">I54</f>
        <v>0</v>
      </c>
      <c r="P54" s="179" t="str">
        <f aca="false">IFERROR(Q44-$D54,"")</f>
        <v/>
      </c>
      <c r="Q54" s="180" t="n">
        <f aca="false">IFERROR(IF(OR(C39="КУПК",C39="КУПК (РП/ЗРП)"),E54*O54/365*P54*0.25,0),"")</f>
        <v>0</v>
      </c>
      <c r="S54" s="152"/>
      <c r="T54" s="130"/>
      <c r="V54" s="129"/>
      <c r="W54" s="130"/>
      <c r="Y54" s="129"/>
    </row>
    <row r="55" customFormat="false" ht="15" hidden="false" customHeight="false" outlineLevel="0" collapsed="false">
      <c r="B55" s="173" t="n">
        <f aca="false">IF(AND(калькулятор!D$25&gt;0,калькулятор!D$25&lt;&gt;"Ключевая"),калькулятор!E$25,"")</f>
        <v>0</v>
      </c>
      <c r="C55" s="174" t="str">
        <f aca="false">IFERROR(VLOOKUP(B55,калькулятор!E:OJ,MATCH($B39,калькулятор!$3:$3,0)-5,0),"")</f>
        <v/>
      </c>
      <c r="D55" s="175" t="str">
        <f aca="false">IFERROR(IF(VLOOKUP(B55,калькулятор!E:J,6,0)=0,"",VLOOKUP(B55,калькулятор!E:J,6,0)),"")</f>
        <v/>
      </c>
      <c r="E55" s="176" t="str">
        <f aca="false">IF(B55="Финальная веха*",0,IF(D55="","",IF(B55="","",IFERROR(C55/67*33,""))))</f>
        <v/>
      </c>
      <c r="F55" s="177"/>
      <c r="H55" s="130"/>
      <c r="I55" s="178"/>
      <c r="J55" s="179" t="str">
        <f aca="false">IFERROR(K44-D55,"")</f>
        <v/>
      </c>
      <c r="K55" s="180" t="str">
        <f aca="false">IFERROR(IF(OR(C39="КУПК",C39="КУПК (РП/ЗРП)"),E55*I55/365*J55*0.5,E55*I55/365*J55),"")</f>
        <v/>
      </c>
      <c r="L55" s="178" t="n">
        <f aca="false">I55</f>
        <v>0</v>
      </c>
      <c r="M55" s="179" t="str">
        <f aca="false">IFERROR(N44-$D55,"")</f>
        <v/>
      </c>
      <c r="N55" s="180" t="n">
        <f aca="false">IFERROR(IF(OR(C39="КУПК",C39="КУПК (РП/ЗРП)"),E55*L55/365*M55*0.25,0),"")</f>
        <v>0</v>
      </c>
      <c r="O55" s="181" t="n">
        <f aca="false">I55</f>
        <v>0</v>
      </c>
      <c r="P55" s="179" t="str">
        <f aca="false">IFERROR(Q44-$D55,"")</f>
        <v/>
      </c>
      <c r="Q55" s="180" t="n">
        <f aca="false">IFERROR(IF(OR(C39="КУПК",C39="КУПК (РП/ЗРП)"),E55*O55/365*P55*0.25,0),"")</f>
        <v>0</v>
      </c>
      <c r="S55" s="152"/>
      <c r="T55" s="130"/>
      <c r="V55" s="129"/>
      <c r="W55" s="130"/>
      <c r="Y55" s="129"/>
    </row>
    <row r="56" customFormat="false" ht="15" hidden="false" customHeight="false" outlineLevel="0" collapsed="false">
      <c r="B56" s="173" t="n">
        <f aca="false">IF(AND(калькулятор!D$26&gt;0,калькулятор!D$26&lt;&gt;"Ключевая"),калькулятор!E$26,"")</f>
        <v>0</v>
      </c>
      <c r="C56" s="174" t="str">
        <f aca="false">IFERROR(VLOOKUP(B56,калькулятор!E:OJ,MATCH($B39,калькулятор!$3:$3,0)-5,0),"")</f>
        <v/>
      </c>
      <c r="D56" s="175" t="str">
        <f aca="false">IFERROR(IF(VLOOKUP(B56,калькулятор!E:J,6,0)=0,"",VLOOKUP(B56,калькулятор!E:J,6,0)),"")</f>
        <v/>
      </c>
      <c r="E56" s="176" t="str">
        <f aca="false">IF(B56="Финальная веха*",0,IF(D56="","",IF(B56="","",IFERROR(C56/67*33,""))))</f>
        <v/>
      </c>
      <c r="F56" s="177"/>
      <c r="H56" s="130"/>
      <c r="I56" s="178"/>
      <c r="J56" s="179" t="str">
        <f aca="false">IFERROR(K44-D56,"")</f>
        <v/>
      </c>
      <c r="K56" s="180" t="str">
        <f aca="false">IFERROR(IF(OR(C39="КУПК",C39="КУПК (РП/ЗРП)"),E56*I56/365*J56*0.5,E56*I56/365*J56),"")</f>
        <v/>
      </c>
      <c r="L56" s="178" t="n">
        <f aca="false">I56</f>
        <v>0</v>
      </c>
      <c r="M56" s="179" t="str">
        <f aca="false">IFERROR(N44-$D56,"")</f>
        <v/>
      </c>
      <c r="N56" s="180" t="n">
        <f aca="false">IFERROR(IF(OR(C39="КУПК",C39="КУПК (РП/ЗРП)"),E56*L56/365*M56*0.25,0),"")</f>
        <v>0</v>
      </c>
      <c r="O56" s="181" t="n">
        <f aca="false">I56</f>
        <v>0</v>
      </c>
      <c r="P56" s="179" t="str">
        <f aca="false">IFERROR(Q44-$D56,"")</f>
        <v/>
      </c>
      <c r="Q56" s="180" t="n">
        <f aca="false">IFERROR(IF(OR(C39="КУПК",C39="КУПК (РП/ЗРП)"),E56*O56/365*P56*0.25,0),"")</f>
        <v>0</v>
      </c>
      <c r="S56" s="152"/>
      <c r="T56" s="130"/>
      <c r="V56" s="129"/>
      <c r="W56" s="130"/>
      <c r="Y56" s="129"/>
    </row>
    <row r="57" customFormat="false" ht="15" hidden="false" customHeight="false" outlineLevel="0" collapsed="false">
      <c r="B57" s="173" t="n">
        <f aca="false">IF(AND(калькулятор!D$27&gt;0,калькулятор!D$27&lt;&gt;"Ключевая"),калькулятор!E$27,"")</f>
        <v>0</v>
      </c>
      <c r="C57" s="174" t="str">
        <f aca="false">IFERROR(VLOOKUP(B57,калькулятор!E:OJ,MATCH($B39,калькулятор!$3:$3,0)-5,0),"")</f>
        <v/>
      </c>
      <c r="D57" s="175" t="str">
        <f aca="false">IFERROR(IF(VLOOKUP(B57,калькулятор!E:J,6,0)=0,"",VLOOKUP(B57,калькулятор!E:J,6,0)),"")</f>
        <v/>
      </c>
      <c r="E57" s="176" t="str">
        <f aca="false">IF(B57="Финальная веха*",0,IF(D57="","",IF(B57="","",IFERROR(C57/67*33,""))))</f>
        <v/>
      </c>
      <c r="F57" s="177"/>
      <c r="H57" s="130"/>
      <c r="I57" s="178"/>
      <c r="J57" s="179" t="str">
        <f aca="false">IFERROR(K44-D57,"")</f>
        <v/>
      </c>
      <c r="K57" s="180" t="str">
        <f aca="false">IFERROR(IF(OR(C39="КУПК",C39="КУПК (РП/ЗРП)"),E57*I57/365*J57*0.5,E57*I57/365*J57),"")</f>
        <v/>
      </c>
      <c r="L57" s="178" t="n">
        <f aca="false">I57</f>
        <v>0</v>
      </c>
      <c r="M57" s="179" t="str">
        <f aca="false">IFERROR(N44-$D57,"")</f>
        <v/>
      </c>
      <c r="N57" s="180" t="n">
        <f aca="false">IFERROR(IF(OR(C39="КУПК",C39="КУПК (РП/ЗРП)"),E57*L57/365*M57*0.25,0),"")</f>
        <v>0</v>
      </c>
      <c r="O57" s="181" t="n">
        <f aca="false">I57</f>
        <v>0</v>
      </c>
      <c r="P57" s="179" t="str">
        <f aca="false">IFERROR(Q44-$D57,"")</f>
        <v/>
      </c>
      <c r="Q57" s="180" t="n">
        <f aca="false">IFERROR(IF(OR(C39="КУПК",C39="КУПК (РП/ЗРП)"),E57*O57/365*P57*0.25,0),"")</f>
        <v>0</v>
      </c>
      <c r="S57" s="152"/>
      <c r="T57" s="130"/>
      <c r="V57" s="129"/>
      <c r="W57" s="130"/>
      <c r="Y57" s="129"/>
    </row>
    <row r="58" customFormat="false" ht="15" hidden="false" customHeight="false" outlineLevel="0" collapsed="false">
      <c r="B58" s="173" t="n">
        <f aca="false">IF(AND(калькулятор!D$28&gt;0,калькулятор!D$28&lt;&gt;"Ключевая"),калькулятор!E$28,"")</f>
        <v>0</v>
      </c>
      <c r="C58" s="174" t="str">
        <f aca="false">IFERROR(VLOOKUP(B58,калькулятор!E:OJ,MATCH($B39,калькулятор!$3:$3,0)-5,0),"")</f>
        <v/>
      </c>
      <c r="D58" s="175" t="str">
        <f aca="false">IFERROR(IF(VLOOKUP(B58,калькулятор!E:J,6,0)=0,"",VLOOKUP(B58,калькулятор!E:J,6,0)),"")</f>
        <v/>
      </c>
      <c r="E58" s="176" t="str">
        <f aca="false">IF(B58="Финальная веха*",0,IF(D58="","",IF(B58="","",IFERROR(C58/67*33,""))))</f>
        <v/>
      </c>
      <c r="F58" s="177"/>
      <c r="H58" s="130"/>
      <c r="I58" s="178"/>
      <c r="J58" s="179" t="str">
        <f aca="false">IFERROR(K44-D58,"")</f>
        <v/>
      </c>
      <c r="K58" s="180" t="str">
        <f aca="false">IFERROR(IF(OR(C39="КУПК",C39="КУПК (РП/ЗРП)"),E58*I58/365*J58*0.5,E58*I58/365*J58),"")</f>
        <v/>
      </c>
      <c r="L58" s="178" t="n">
        <f aca="false">I58</f>
        <v>0</v>
      </c>
      <c r="M58" s="179" t="str">
        <f aca="false">IFERROR(N44-$D58,"")</f>
        <v/>
      </c>
      <c r="N58" s="180" t="n">
        <f aca="false">IFERROR(IF(OR(C39="КУПК",C39="КУПК (РП/ЗРП)"),E58*L58/365*M58*0.25,0),"")</f>
        <v>0</v>
      </c>
      <c r="O58" s="181" t="n">
        <f aca="false">I58</f>
        <v>0</v>
      </c>
      <c r="P58" s="179" t="str">
        <f aca="false">IFERROR(Q44-$D58,"")</f>
        <v/>
      </c>
      <c r="Q58" s="180" t="n">
        <f aca="false">IFERROR(IF(OR(C39="КУПК",C39="КУПК (РП/ЗРП)"),E58*O58/365*P58*0.25,0),"")</f>
        <v>0</v>
      </c>
      <c r="S58" s="152"/>
      <c r="T58" s="130"/>
      <c r="V58" s="129"/>
      <c r="W58" s="130"/>
      <c r="Y58" s="129"/>
    </row>
    <row r="59" customFormat="false" ht="15" hidden="false" customHeight="false" outlineLevel="0" collapsed="false">
      <c r="B59" s="173" t="n">
        <f aca="false">IF(AND(калькулятор!D$29&gt;0,калькулятор!D$29&lt;&gt;"Ключевая"),калькулятор!E$29,"")</f>
        <v>0</v>
      </c>
      <c r="C59" s="174" t="str">
        <f aca="false">IFERROR(VLOOKUP(B59,калькулятор!E:OJ,MATCH($B39,калькулятор!$3:$3,0)-5,0),"")</f>
        <v/>
      </c>
      <c r="D59" s="175" t="str">
        <f aca="false">IFERROR(IF(VLOOKUP(B59,калькулятор!E:J,6,0)=0,"",VLOOKUP(B59,калькулятор!E:J,6,0)),"")</f>
        <v/>
      </c>
      <c r="E59" s="176" t="str">
        <f aca="false">IF(B59="Финальная веха*",0,IF(D59="","",IF(B59="","",IFERROR(C59/67*33,""))))</f>
        <v/>
      </c>
      <c r="F59" s="177"/>
      <c r="H59" s="130"/>
      <c r="I59" s="178"/>
      <c r="J59" s="179" t="str">
        <f aca="false">IFERROR(K44-D59,"")</f>
        <v/>
      </c>
      <c r="K59" s="180" t="str">
        <f aca="false">IFERROR(IF(OR(C39="КУПК",C39="КУПК (РП/ЗРП)"),E59*I59/365*J59*0.5,E59*I59/365*J59),"")</f>
        <v/>
      </c>
      <c r="L59" s="178" t="n">
        <f aca="false">I59</f>
        <v>0</v>
      </c>
      <c r="M59" s="179" t="str">
        <f aca="false">IFERROR(N44-$D59,"")</f>
        <v/>
      </c>
      <c r="N59" s="180" t="n">
        <f aca="false">IFERROR(IF(OR(C39="КУПК",C39="КУПК (РП/ЗРП)"),E59*L59/365*M59*0.25,0),"")</f>
        <v>0</v>
      </c>
      <c r="O59" s="181" t="n">
        <f aca="false">I59</f>
        <v>0</v>
      </c>
      <c r="P59" s="179" t="str">
        <f aca="false">IFERROR(Q44-$D59,"")</f>
        <v/>
      </c>
      <c r="Q59" s="180" t="n">
        <f aca="false">IFERROR(IF(OR(C39="КУПК",C39="КУПК (РП/ЗРП)"),E59*O59/365*P59*0.25,0),"")</f>
        <v>0</v>
      </c>
      <c r="S59" s="152"/>
      <c r="T59" s="130"/>
      <c r="V59" s="129"/>
      <c r="W59" s="130"/>
      <c r="Y59" s="129"/>
    </row>
    <row r="60" customFormat="false" ht="15" hidden="false" customHeight="false" outlineLevel="0" collapsed="false">
      <c r="B60" s="173" t="n">
        <f aca="false">IF(AND(калькулятор!D$30&gt;0,калькулятор!D$30&lt;&gt;"Ключевая"),калькулятор!E$30,"")</f>
        <v>0</v>
      </c>
      <c r="C60" s="174" t="str">
        <f aca="false">IFERROR(VLOOKUP(B60,калькулятор!E:OJ,MATCH($B39,калькулятор!$3:$3,0)-5,0),"")</f>
        <v/>
      </c>
      <c r="D60" s="175" t="str">
        <f aca="false">IFERROR(IF(VLOOKUP(B60,калькулятор!E:J,6,0)=0,"",VLOOKUP(B60,калькулятор!E:J,6,0)),"")</f>
        <v/>
      </c>
      <c r="E60" s="176" t="str">
        <f aca="false">IF(B60="Финальная веха*",0,IF(D60="","",IF(B60="","",IFERROR(C60/67*33,""))))</f>
        <v/>
      </c>
      <c r="F60" s="177"/>
      <c r="H60" s="130"/>
      <c r="I60" s="178"/>
      <c r="J60" s="179" t="str">
        <f aca="false">IFERROR(K44-D60,"")</f>
        <v/>
      </c>
      <c r="K60" s="180" t="str">
        <f aca="false">IFERROR(IF(OR(C39="КУПК",C39="КУПК (РП/ЗРП)"),E60*I60/365*J60*0.5,E60*I60/365*J60),"")</f>
        <v/>
      </c>
      <c r="L60" s="178" t="n">
        <f aca="false">I60</f>
        <v>0</v>
      </c>
      <c r="M60" s="179" t="str">
        <f aca="false">IFERROR(N44-$D60,"")</f>
        <v/>
      </c>
      <c r="N60" s="180" t="n">
        <f aca="false">IFERROR(IF(OR(C39="КУПК",C39="КУПК (РП/ЗРП)"),E60*L60/365*M60*0.25,0),"")</f>
        <v>0</v>
      </c>
      <c r="O60" s="181" t="n">
        <f aca="false">I60</f>
        <v>0</v>
      </c>
      <c r="P60" s="179" t="str">
        <f aca="false">IFERROR(Q44-$D60,"")</f>
        <v/>
      </c>
      <c r="Q60" s="180" t="n">
        <f aca="false">IFERROR(IF(OR(C39="КУПК",C39="КУПК (РП/ЗРП)"),E60*O60/365*P60*0.25,0),"")</f>
        <v>0</v>
      </c>
      <c r="S60" s="152"/>
      <c r="T60" s="130"/>
      <c r="V60" s="129"/>
      <c r="W60" s="130"/>
      <c r="Y60" s="129"/>
    </row>
    <row r="61" customFormat="false" ht="15" hidden="false" customHeight="false" outlineLevel="0" collapsed="false">
      <c r="B61" s="173" t="n">
        <f aca="false">IF(AND(калькулятор!D$31&gt;0,калькулятор!D$31&lt;&gt;"Ключевая"),калькулятор!E$31,"")</f>
        <v>0</v>
      </c>
      <c r="C61" s="174" t="str">
        <f aca="false">IFERROR(VLOOKUP(B61,калькулятор!E:OJ,MATCH($B39,калькулятор!$3:$3,0)-5,0),"")</f>
        <v/>
      </c>
      <c r="D61" s="175" t="str">
        <f aca="false">IFERROR(IF(VLOOKUP(B61,калькулятор!E:J,6,0)=0,"",VLOOKUP(B61,калькулятор!E:J,6,0)),"")</f>
        <v/>
      </c>
      <c r="E61" s="176" t="str">
        <f aca="false">IF(B61="Финальная веха*",0,IF(D61="","",IF(B61="","",IFERROR(C61/67*33,""))))</f>
        <v/>
      </c>
      <c r="F61" s="177"/>
      <c r="H61" s="130"/>
      <c r="I61" s="178"/>
      <c r="J61" s="179" t="str">
        <f aca="false">IFERROR(K44-D61,"")</f>
        <v/>
      </c>
      <c r="K61" s="180" t="str">
        <f aca="false">IFERROR(IF(OR(C39="КУПК",C39="КУПК (РП/ЗРП)"),E61*I61/365*J61*0.5,E61*I61/365*J61),"")</f>
        <v/>
      </c>
      <c r="L61" s="178" t="n">
        <f aca="false">I61</f>
        <v>0</v>
      </c>
      <c r="M61" s="179" t="str">
        <f aca="false">IFERROR(N44-$D61,"")</f>
        <v/>
      </c>
      <c r="N61" s="180" t="n">
        <f aca="false">IFERROR(IF(OR(C39="КУПК",C39="КУПК (РП/ЗРП)"),E61*L61/365*M61*0.25,0),"")</f>
        <v>0</v>
      </c>
      <c r="O61" s="181" t="n">
        <f aca="false">I61</f>
        <v>0</v>
      </c>
      <c r="P61" s="179" t="str">
        <f aca="false">IFERROR(Q44-$D61,"")</f>
        <v/>
      </c>
      <c r="Q61" s="180" t="n">
        <f aca="false">IFERROR(IF(OR(C39="КУПК",C39="КУПК (РП/ЗРП)"),E61*O61/365*P61*0.25,0),"")</f>
        <v>0</v>
      </c>
      <c r="S61" s="152"/>
      <c r="T61" s="130"/>
      <c r="V61" s="129"/>
      <c r="W61" s="130"/>
      <c r="Y61" s="129"/>
    </row>
    <row r="62" customFormat="false" ht="15" hidden="false" customHeight="false" outlineLevel="0" collapsed="false">
      <c r="B62" s="173" t="n">
        <f aca="false">IF(AND(калькулятор!D$32&gt;0,калькулятор!D$32&lt;&gt;"Ключевая"),калькулятор!E$32,"")</f>
        <v>0</v>
      </c>
      <c r="C62" s="174" t="str">
        <f aca="false">IFERROR(VLOOKUP(B62,калькулятор!E:OJ,MATCH($B39,калькулятор!$3:$3,0)-5,0),"")</f>
        <v/>
      </c>
      <c r="D62" s="175" t="str">
        <f aca="false">IFERROR(IF(VLOOKUP(B62,калькулятор!E:J,6,0)=0,"",VLOOKUP(B62,калькулятор!E:J,6,0)),"")</f>
        <v/>
      </c>
      <c r="E62" s="176" t="str">
        <f aca="false">IF(B62="Финальная веха*",0,IF(D62="","",IF(B62="","",IFERROR(C62/67*33,""))))</f>
        <v/>
      </c>
      <c r="F62" s="177"/>
      <c r="H62" s="130"/>
      <c r="I62" s="178"/>
      <c r="J62" s="179" t="str">
        <f aca="false">IFERROR(K44-D62,"")</f>
        <v/>
      </c>
      <c r="K62" s="180" t="str">
        <f aca="false">IFERROR(IF(OR(C39="КУПК",C39="КУПК (РП/ЗРП)"),E62*I62/365*J62*0.5,E62*I62/365*J62),"")</f>
        <v/>
      </c>
      <c r="L62" s="178" t="n">
        <f aca="false">I62</f>
        <v>0</v>
      </c>
      <c r="M62" s="179" t="str">
        <f aca="false">IFERROR(N44-$D62,"")</f>
        <v/>
      </c>
      <c r="N62" s="180" t="n">
        <f aca="false">IFERROR(IF(OR(C39="КУПК",C39="КУПК (РП/ЗРП)"),E62*L62/365*M62*0.25,0),"")</f>
        <v>0</v>
      </c>
      <c r="O62" s="181" t="n">
        <f aca="false">I62</f>
        <v>0</v>
      </c>
      <c r="P62" s="179" t="str">
        <f aca="false">IFERROR(Q44-$D62,"")</f>
        <v/>
      </c>
      <c r="Q62" s="180" t="n">
        <f aca="false">IFERROR(IF(OR(C39="КУПК",C39="КУПК (РП/ЗРП)"),E62*O62/365*P62*0.25,0),"")</f>
        <v>0</v>
      </c>
      <c r="S62" s="152"/>
      <c r="T62" s="130"/>
      <c r="V62" s="129"/>
      <c r="W62" s="130"/>
      <c r="Y62" s="129"/>
    </row>
    <row r="63" customFormat="false" ht="15" hidden="false" customHeight="false" outlineLevel="0" collapsed="false">
      <c r="B63" s="173" t="n">
        <f aca="false">IF(AND(калькулятор!D$33&gt;0,калькулятор!D$33&lt;&gt;"Ключевая"),калькулятор!E$33,"")</f>
        <v>0</v>
      </c>
      <c r="C63" s="174" t="str">
        <f aca="false">IFERROR(VLOOKUP(B63,калькулятор!E:OJ,MATCH($B39,калькулятор!$3:$3,0)-5,0),"")</f>
        <v/>
      </c>
      <c r="D63" s="175" t="str">
        <f aca="false">IFERROR(IF(VLOOKUP(B63,калькулятор!E:J,6,0)=0,"",VLOOKUP(B63,калькулятор!E:J,6,0)),"")</f>
        <v/>
      </c>
      <c r="E63" s="176" t="str">
        <f aca="false">IF(B63="Финальная веха*",0,IF(D63="","",IF(B63="","",IFERROR(C63/67*33,""))))</f>
        <v/>
      </c>
      <c r="F63" s="177"/>
      <c r="I63" s="178"/>
      <c r="J63" s="179" t="str">
        <f aca="false">IFERROR(K44-D63,"")</f>
        <v/>
      </c>
      <c r="K63" s="180" t="str">
        <f aca="false">IFERROR(IF(OR(C39="КУПК",C39="КУПК (РП/ЗРП)"),E63*I63/365*J63*0.5,E63*I63/365*J63),"")</f>
        <v/>
      </c>
      <c r="L63" s="178" t="n">
        <f aca="false">I63</f>
        <v>0</v>
      </c>
      <c r="M63" s="179" t="str">
        <f aca="false">IFERROR(N44-$D63,"")</f>
        <v/>
      </c>
      <c r="N63" s="180" t="n">
        <f aca="false">IFERROR(IF(OR(C39="КУПК",C39="КУПК (РП/ЗРП)"),E63*L63/365*M63*0.25,0),"")</f>
        <v>0</v>
      </c>
      <c r="O63" s="181" t="n">
        <f aca="false">I63</f>
        <v>0</v>
      </c>
      <c r="P63" s="179" t="str">
        <f aca="false">IFERROR(Q44-$D63,"")</f>
        <v/>
      </c>
      <c r="Q63" s="180" t="n">
        <f aca="false">IFERROR(IF(OR(C39="КУПК",C39="КУПК (РП/ЗРП)"),E63*O63/365*P63*0.25,0),"")</f>
        <v>0</v>
      </c>
      <c r="S63" s="152"/>
      <c r="T63" s="130"/>
      <c r="V63" s="129"/>
      <c r="W63" s="130"/>
      <c r="Y63" s="129"/>
    </row>
    <row r="64" customFormat="false" ht="15" hidden="false" customHeight="false" outlineLevel="0" collapsed="false">
      <c r="B64" s="173" t="n">
        <f aca="false">IF(AND(калькулятор!D$34&gt;0,калькулятор!D$34&lt;&gt;"Ключевая"),калькулятор!E$34,"")</f>
        <v>0</v>
      </c>
      <c r="C64" s="174" t="str">
        <f aca="false">IFERROR(VLOOKUP(B64,калькулятор!E:OJ,MATCH($B39,калькулятор!$3:$3,0)-5,0),"")</f>
        <v/>
      </c>
      <c r="D64" s="175" t="str">
        <f aca="false">IFERROR(IF(VLOOKUP(B64,калькулятор!E:J,6,0)=0,"",VLOOKUP(B64,калькулятор!E:J,6,0)),"")</f>
        <v/>
      </c>
      <c r="E64" s="176" t="str">
        <f aca="false">IF(B64="Финальная веха*",0,IF(D64="","",IF(B64="","",IFERROR(C64/67*33,""))))</f>
        <v/>
      </c>
      <c r="F64" s="177"/>
      <c r="I64" s="178"/>
      <c r="J64" s="179" t="str">
        <f aca="false">IFERROR(K44-D64,"")</f>
        <v/>
      </c>
      <c r="K64" s="180" t="str">
        <f aca="false">IFERROR(IF(OR(C39="КУПК",C39="КУПК (РП/ЗРП)"),E64*I64/365*J64*0.5,E64*I64/365*J64),"")</f>
        <v/>
      </c>
      <c r="L64" s="178" t="n">
        <f aca="false">I64</f>
        <v>0</v>
      </c>
      <c r="M64" s="179" t="str">
        <f aca="false">IFERROR(N44-$D64,"")</f>
        <v/>
      </c>
      <c r="N64" s="180" t="n">
        <f aca="false">IFERROR(IF(OR(C39="КУПК",C39="КУПК (РП/ЗРП)"),E64*L64/365*M64*0.25,0),"")</f>
        <v>0</v>
      </c>
      <c r="O64" s="181" t="n">
        <f aca="false">I64</f>
        <v>0</v>
      </c>
      <c r="P64" s="179" t="str">
        <f aca="false">IFERROR(Q44-$D64,"")</f>
        <v/>
      </c>
      <c r="Q64" s="180" t="n">
        <f aca="false">IFERROR(IF(OR(C39="КУПК",C39="КУПК (РП/ЗРП)"),E64*O64/365*P64*0.25,0),"")</f>
        <v>0</v>
      </c>
      <c r="S64" s="152"/>
      <c r="T64" s="130"/>
      <c r="V64" s="129"/>
      <c r="W64" s="130"/>
      <c r="Y64" s="129"/>
    </row>
    <row r="65" customFormat="false" ht="15" hidden="false" customHeight="false" outlineLevel="0" collapsed="false">
      <c r="B65" s="173" t="n">
        <f aca="false">IF(AND(калькулятор!D$35&gt;0,калькулятор!D$35&lt;&gt;"Ключевая"),калькулятор!E$35,"")</f>
        <v>0</v>
      </c>
      <c r="C65" s="174" t="str">
        <f aca="false">IFERROR(VLOOKUP(B65,калькулятор!E:OJ,MATCH($B39,калькулятор!$3:$3,0)-5,0),"")</f>
        <v/>
      </c>
      <c r="D65" s="175" t="str">
        <f aca="false">IFERROR(IF(VLOOKUP(B65,калькулятор!E:J,6,0)=0,"",VLOOKUP(B65,калькулятор!E:J,6,0)),"")</f>
        <v/>
      </c>
      <c r="E65" s="176" t="str">
        <f aca="false">IF(B65="Финальная веха*",0,IF(D65="","",IF(B65="","",IFERROR(C65/67*33,""))))</f>
        <v/>
      </c>
      <c r="F65" s="177"/>
      <c r="I65" s="178"/>
      <c r="J65" s="179" t="str">
        <f aca="false">IFERROR(K44-D65,"")</f>
        <v/>
      </c>
      <c r="K65" s="180" t="str">
        <f aca="false">IFERROR(IF(OR(C39="КУПК",C39="КУПК (РП/ЗРП)"),E65*I65/365*J65*0.5,E65*I65/365*J65),"")</f>
        <v/>
      </c>
      <c r="L65" s="178" t="n">
        <f aca="false">I65</f>
        <v>0</v>
      </c>
      <c r="M65" s="179" t="str">
        <f aca="false">IFERROR(N44-$D65,"")</f>
        <v/>
      </c>
      <c r="N65" s="180" t="n">
        <f aca="false">IFERROR(IF(OR(C39="КУПК",C39="КУПК (РП/ЗРП)"),E65*L65/365*M65*0.25,0),"")</f>
        <v>0</v>
      </c>
      <c r="O65" s="181" t="n">
        <f aca="false">I65</f>
        <v>0</v>
      </c>
      <c r="P65" s="179" t="str">
        <f aca="false">IFERROR(Q44-$D65,"")</f>
        <v/>
      </c>
      <c r="Q65" s="180" t="n">
        <f aca="false">IFERROR(IF(OR(C39="КУПК",C39="КУПК (РП/ЗРП)"),E65*O65/365*P65*0.25,0),"")</f>
        <v>0</v>
      </c>
      <c r="S65" s="152"/>
      <c r="T65" s="130"/>
      <c r="V65" s="129"/>
      <c r="W65" s="130"/>
      <c r="Y65" s="129"/>
    </row>
    <row r="66" customFormat="false" ht="15.75" hidden="false" customHeight="true" outlineLevel="0" collapsed="false">
      <c r="B66" s="183" t="str">
        <f aca="false" t="array" ref="B66:B66">INDEX(калькулятор!$E$16:$E$305,MATCH(TRUE(),COUNTIF('проценты на отложенную часть'!B46:B65,калькулятор!$E$16:$E$305)=0,0))</f>
        <v>Ключевая веха этапа</v>
      </c>
      <c r="C66" s="184" t="n">
        <f aca="false">IFERROR(VLOOKUP(B66,калькулятор!E:OJ,MATCH(B39,калькулятор!$3:$3,0)-5,0),"")</f>
        <v>0</v>
      </c>
      <c r="D66" s="185"/>
      <c r="E66" s="186"/>
      <c r="F66" s="187"/>
      <c r="I66" s="188"/>
      <c r="J66" s="189"/>
      <c r="K66" s="190"/>
      <c r="L66" s="188"/>
      <c r="M66" s="189"/>
      <c r="N66" s="190"/>
      <c r="O66" s="191"/>
      <c r="P66" s="192"/>
      <c r="Q66" s="193"/>
      <c r="S66" s="152"/>
    </row>
    <row r="67" customFormat="false" ht="15" hidden="false" customHeight="false" outlineLevel="0" collapsed="false">
      <c r="B67" s="194" t="str">
        <f aca="false">"Финальная веха*"</f>
        <v>Финальная веха*</v>
      </c>
      <c r="C67" s="195" t="n">
        <f aca="false">IF(OR(C39="КУПК",C39="КУПК (РП/ЗРП)"),C66*50%,C66)</f>
        <v>0</v>
      </c>
      <c r="D67" s="196" t="n">
        <f aca="false">IFERROR(IF(VLOOKUP(B67,калькулятор!E:J,6,0)=0,"",VLOOKUP(B67,калькулятор!E:J,6,0)),"")</f>
        <v>46428</v>
      </c>
      <c r="E67" s="197" t="n">
        <f aca="false">IF(B67="Финальная веха*",0,IF(D67="","",IF(B67="","",IFERROR(C67/67*33,""))))</f>
        <v>0</v>
      </c>
      <c r="F67" s="198"/>
      <c r="I67" s="178"/>
      <c r="J67" s="179" t="n">
        <f aca="false">IFERROR(K44-D67,"")</f>
        <v>0</v>
      </c>
      <c r="K67" s="180" t="n">
        <f aca="false">IFERROR(IF(OR(C39="КУПК",C39="КУПК (РП/ЗРП)"),E67*I67/365*J67*0.5,E67*I67/365*J67),"")</f>
        <v>0</v>
      </c>
      <c r="L67" s="189"/>
      <c r="M67" s="189"/>
      <c r="N67" s="190"/>
      <c r="O67" s="191"/>
      <c r="P67" s="199"/>
      <c r="Q67" s="200"/>
      <c r="S67" s="152"/>
    </row>
    <row r="68" customFormat="false" ht="15" hidden="false" customHeight="false" outlineLevel="0" collapsed="false">
      <c r="B68" s="201" t="str">
        <f aca="false">IF(OR(C39="КУПК",C39="КУПК (РП/ЗРП)"),"Финальная веха (25% ПБ)*","")</f>
        <v/>
      </c>
      <c r="C68" s="202" t="str">
        <f aca="false">IF(OR(C39="КУПК",C39="КУПК (РП/ЗРП)"),C66*25%,"")</f>
        <v/>
      </c>
      <c r="D68" s="203" t="str">
        <f aca="false">IFERROR(IF(VLOOKUP(B68,калькулятор!E:J,6,0)=0,"",VLOOKUP(B68,калькулятор!E:J,6,0)),"")</f>
        <v/>
      </c>
      <c r="E68" s="176" t="str">
        <f aca="false">C68</f>
        <v/>
      </c>
      <c r="F68" s="204"/>
      <c r="I68" s="188"/>
      <c r="J68" s="189"/>
      <c r="K68" s="190"/>
      <c r="L68" s="178"/>
      <c r="M68" s="179" t="str">
        <f aca="false">IF(OR(C39="КУПК",C39="КУПК (РП/ЗРП)"),IF(D67="","",D68-D67),"")</f>
        <v/>
      </c>
      <c r="N68" s="180" t="str">
        <f aca="false">IFERROR(IF(D68="","",IF(OR(C39="КУПК",C39="КУПК (РП/ЗРП)"),E68*L68/365*M68,0)),"")</f>
        <v/>
      </c>
      <c r="O68" s="191"/>
      <c r="P68" s="199"/>
      <c r="Q68" s="200"/>
      <c r="S68" s="152"/>
    </row>
    <row r="69" customFormat="false" ht="15.75" hidden="false" customHeight="true" outlineLevel="0" collapsed="false">
      <c r="B69" s="205" t="str">
        <f aca="false">IF(OR(C39="КУПК",C39="КУПК (РП/ЗРП)"),"Финальная веха (25% ПБ) 2 часть*","")</f>
        <v/>
      </c>
      <c r="C69" s="206" t="str">
        <f aca="false">IF(OR(C39="КУПК",C39="КУПК (РП/ЗРП)"),C66*25%,"")</f>
        <v/>
      </c>
      <c r="D69" s="207" t="str">
        <f aca="false">IFERROR(IF(VLOOKUP(B69,калькулятор!E:J,6,0)=0,"",VLOOKUP(B69,калькулятор!E:J,6,0)),"")</f>
        <v/>
      </c>
      <c r="E69" s="208" t="str">
        <f aca="false">C69</f>
        <v/>
      </c>
      <c r="F69" s="209"/>
      <c r="I69" s="188"/>
      <c r="J69" s="189"/>
      <c r="K69" s="190"/>
      <c r="L69" s="188"/>
      <c r="M69" s="189"/>
      <c r="N69" s="190"/>
      <c r="O69" s="181"/>
      <c r="P69" s="179" t="str">
        <f aca="false">IF(OR(C39="КУПК",C39="КУПК (РП/ЗРП)"),IF(D67="","",D69-D67),"")</f>
        <v/>
      </c>
      <c r="Q69" s="180" t="str">
        <f aca="false">IFERROR(IF(D69="","",IF(OR(C39="КУПК",C39="КУПК (РП/ЗРП)"),E69*O69/365*P69,0)),"")</f>
        <v/>
      </c>
      <c r="S69" s="210"/>
    </row>
    <row r="70" customFormat="false" ht="15" hidden="false" customHeight="false" outlineLevel="0" collapsed="false">
      <c r="B70" s="150"/>
      <c r="C70" s="211"/>
      <c r="D70" s="130"/>
      <c r="E70" s="130"/>
      <c r="F70" s="130"/>
      <c r="M70" s="129"/>
      <c r="S70" s="210"/>
    </row>
    <row r="71" customFormat="false" ht="15.75" hidden="false" customHeight="true" outlineLevel="0" collapsed="false">
      <c r="B71" s="212"/>
      <c r="C71" s="213"/>
      <c r="D71" s="214"/>
      <c r="E71" s="214"/>
      <c r="F71" s="214"/>
      <c r="G71" s="213"/>
      <c r="H71" s="213"/>
      <c r="I71" s="213"/>
      <c r="J71" s="213"/>
      <c r="K71" s="214"/>
      <c r="L71" s="214"/>
      <c r="M71" s="213"/>
      <c r="N71" s="213"/>
      <c r="O71" s="213"/>
      <c r="P71" s="213"/>
      <c r="Q71" s="213"/>
      <c r="R71" s="214"/>
      <c r="S71" s="215"/>
    </row>
    <row r="72" customFormat="false" ht="15.75" hidden="false" customHeight="true" outlineLevel="0" collapsed="false"/>
    <row r="73" s="140" customFormat="true" ht="30" hidden="false" customHeight="true" outlineLevel="0" collapsed="false">
      <c r="B73" s="141" t="e">
        <f aca="false" t="array" ref="B73:B73">INDEX($B$6:$B$37,SMALL(IF(COUNTIF($B$38:$B72,$B$6:$B$37)=0,ROW($B$6:$B$37)-ROW($B$6)+1),1))</f>
        <v>#VALUE!</v>
      </c>
      <c r="C73" s="142" t="e">
        <f aca="false">INDEX(калькулятор!$1:$3,1,MATCH(B73,калькулятор!$3:$3,0))</f>
        <v>#VALUE!</v>
      </c>
      <c r="D73" s="143"/>
      <c r="E73" s="143"/>
      <c r="F73" s="144"/>
      <c r="G73" s="144"/>
      <c r="H73" s="144"/>
      <c r="I73" s="145" t="s">
        <v>50</v>
      </c>
      <c r="J73" s="143" t="s">
        <v>51</v>
      </c>
      <c r="K73" s="146" t="n">
        <f aca="false">SUM(K80:K103)</f>
        <v>0</v>
      </c>
      <c r="L73" s="147"/>
      <c r="M73" s="147"/>
      <c r="N73" s="146" t="n">
        <f aca="false">SUM(N80:N103)</f>
        <v>0</v>
      </c>
      <c r="O73" s="147"/>
      <c r="P73" s="147"/>
      <c r="Q73" s="146" t="n">
        <f aca="false">SUM(Q80:Q103)</f>
        <v>0</v>
      </c>
      <c r="R73" s="146"/>
      <c r="S73" s="148"/>
      <c r="U73" s="149"/>
      <c r="V73" s="149"/>
      <c r="X73" s="149"/>
      <c r="Y73" s="149"/>
    </row>
    <row r="74" customFormat="false" ht="15" hidden="false" customHeight="false" outlineLevel="0" collapsed="false">
      <c r="B74" s="150"/>
      <c r="C74" s="129" t="s">
        <v>52</v>
      </c>
      <c r="D74" s="151" t="e">
        <f aca="false">HLOOKUP(B73,калькулятор!$3:$14,5,0)</f>
        <v>#VALUE!</v>
      </c>
      <c r="E74" s="130"/>
      <c r="J74" s="130"/>
      <c r="L74" s="129"/>
      <c r="M74" s="129"/>
      <c r="Q74" s="130"/>
      <c r="S74" s="152"/>
    </row>
    <row r="75" customFormat="false" ht="15" hidden="false" customHeight="false" outlineLevel="0" collapsed="false">
      <c r="B75" s="153"/>
      <c r="D75" s="130"/>
      <c r="E75" s="130"/>
      <c r="J75" s="130"/>
      <c r="L75" s="129"/>
      <c r="M75" s="129"/>
      <c r="Q75" s="130"/>
      <c r="S75" s="152"/>
    </row>
    <row r="76" customFormat="false" ht="15" hidden="false" customHeight="false" outlineLevel="0" collapsed="false">
      <c r="B76" s="154"/>
      <c r="D76" s="130"/>
      <c r="E76" s="130"/>
      <c r="J76" s="130"/>
      <c r="L76" s="129"/>
      <c r="M76" s="129"/>
      <c r="Q76" s="130"/>
      <c r="S76" s="152"/>
    </row>
    <row r="77" customFormat="false" ht="29.25" hidden="false" customHeight="true" outlineLevel="0" collapsed="false">
      <c r="B77" s="153"/>
      <c r="D77" s="130"/>
      <c r="E77" s="155"/>
      <c r="I77" s="156" t="e">
        <f aca="false">IF(OR(C73="КУПК",C73="КУПК (РП/ЗРП)"),"1 выплата (50%)","Выплата")</f>
        <v>#VALUE!</v>
      </c>
      <c r="J77" s="156"/>
      <c r="K77" s="156"/>
      <c r="L77" s="157" t="e">
        <f aca="false">IF(OR(C73="КУПК",C73="КУПК (РП/ЗРП)"),"2 выплата (25%)","Выплата")</f>
        <v>#VALUE!</v>
      </c>
      <c r="M77" s="157"/>
      <c r="N77" s="157"/>
      <c r="O77" s="158" t="e">
        <f aca="false">IF(OR(C73="КУПК",C73="КУПК (РП/ЗРП)"),"3 выплата (25%)","Выплата")</f>
        <v>#VALUE!</v>
      </c>
      <c r="P77" s="158"/>
      <c r="Q77" s="158"/>
      <c r="S77" s="152"/>
      <c r="T77" s="130"/>
      <c r="V77" s="129"/>
      <c r="W77" s="130"/>
      <c r="Y77" s="129"/>
    </row>
    <row r="78" customFormat="false" ht="30" hidden="false" customHeight="true" outlineLevel="0" collapsed="false">
      <c r="B78" s="154"/>
      <c r="C78" s="129" t="s">
        <v>53</v>
      </c>
      <c r="D78" s="159" t="e">
        <f aca="false">HLOOKUP(B73,калькулятор!$3:$5,3,0)</f>
        <v>#VALUE!</v>
      </c>
      <c r="I78" s="160" t="s">
        <v>54</v>
      </c>
      <c r="J78" s="161"/>
      <c r="K78" s="162" t="n">
        <f aca="false">D101</f>
        <v>46428</v>
      </c>
      <c r="L78" s="163" t="s">
        <v>54</v>
      </c>
      <c r="M78" s="163"/>
      <c r="N78" s="163" t="str">
        <f aca="false">D102</f>
        <v/>
      </c>
      <c r="O78" s="163" t="s">
        <v>54</v>
      </c>
      <c r="P78" s="163"/>
      <c r="Q78" s="163" t="str">
        <f aca="false">D103</f>
        <v/>
      </c>
      <c r="S78" s="152"/>
      <c r="T78" s="130"/>
      <c r="V78" s="129"/>
      <c r="W78" s="130"/>
      <c r="Y78" s="129"/>
    </row>
    <row r="79" customFormat="false" ht="67.5" hidden="false" customHeight="true" outlineLevel="0" collapsed="false">
      <c r="B79" s="164" t="s">
        <v>55</v>
      </c>
      <c r="C79" s="165" t="s">
        <v>56</v>
      </c>
      <c r="D79" s="166" t="s">
        <v>57</v>
      </c>
      <c r="E79" s="166" t="s">
        <v>58</v>
      </c>
      <c r="F79" s="167" t="s">
        <v>59</v>
      </c>
      <c r="H79" s="168"/>
      <c r="I79" s="169" t="s">
        <v>60</v>
      </c>
      <c r="J79" s="163" t="s">
        <v>61</v>
      </c>
      <c r="K79" s="170" t="s">
        <v>62</v>
      </c>
      <c r="L79" s="169" t="s">
        <v>60</v>
      </c>
      <c r="M79" s="163" t="s">
        <v>61</v>
      </c>
      <c r="N79" s="171" t="s">
        <v>62</v>
      </c>
      <c r="O79" s="172" t="s">
        <v>60</v>
      </c>
      <c r="P79" s="163" t="s">
        <v>61</v>
      </c>
      <c r="Q79" s="171" t="s">
        <v>62</v>
      </c>
      <c r="S79" s="152"/>
      <c r="T79" s="130"/>
      <c r="V79" s="129"/>
      <c r="W79" s="130"/>
      <c r="Y79" s="129"/>
    </row>
    <row r="80" customFormat="false" ht="15" hidden="false" customHeight="false" outlineLevel="0" collapsed="false">
      <c r="B80" s="173" t="str">
        <f aca="false">IF(AND(калькулятор!D$16&gt;0,калькулятор!D$16&lt;&gt;"Ключевая"),калькулятор!E$16,"")</f>
        <v>Мотивационная веха 1</v>
      </c>
      <c r="C80" s="174" t="str">
        <f aca="false">IFERROR(VLOOKUP(B80,калькулятор!E:OJ,MATCH($B73,калькулятор!$3:$3,0)-5,0),"")</f>
        <v/>
      </c>
      <c r="D80" s="175" t="n">
        <f aca="false">IFERROR(IF(VLOOKUP(B80,калькулятор!E:J,6,0)=0,"",VLOOKUP(B80,калькулятор!E:J,6,0)),"")</f>
        <v>45879</v>
      </c>
      <c r="E80" s="176" t="str">
        <f aca="false">IF(B80="Финальная веха*",0,IF(D80="","",IF(B80="","",IFERROR(C80/67*33,""))))</f>
        <v/>
      </c>
      <c r="F80" s="177"/>
      <c r="H80" s="130"/>
      <c r="I80" s="178"/>
      <c r="J80" s="179" t="n">
        <f aca="false">IFERROR(K78-D80,"")</f>
        <v>549</v>
      </c>
      <c r="K80" s="180" t="str">
        <f aca="false">IFERROR(IF(OR(C73="КУПК",C73="КУПК (РП/ЗРП)"),E80*I80/365*J80*0.5,E80*I80/365*J80),"")</f>
        <v/>
      </c>
      <c r="L80" s="178" t="n">
        <f aca="false">I80</f>
        <v>0</v>
      </c>
      <c r="M80" s="179" t="str">
        <f aca="false">IFERROR(N78-$D80,"")</f>
        <v/>
      </c>
      <c r="N80" s="180" t="str">
        <f aca="false">IFERROR(IF(OR(C73="КУПК",C73="КУПК (РП/ЗРП)"),E80*L80/365*M80*0.25,0),"")</f>
        <v/>
      </c>
      <c r="O80" s="181" t="n">
        <f aca="false">I80</f>
        <v>0</v>
      </c>
      <c r="P80" s="179" t="str">
        <f aca="false">IFERROR(Q78-$D80,"")</f>
        <v/>
      </c>
      <c r="Q80" s="180" t="str">
        <f aca="false">IFERROR(IF(OR(C73="КУПК",C73="КУПК (РП/ЗРП)"),E80*O80/365*P80*0.25,0),"")</f>
        <v/>
      </c>
      <c r="S80" s="152"/>
      <c r="T80" s="130"/>
      <c r="V80" s="129"/>
      <c r="W80" s="130"/>
      <c r="Y80" s="129"/>
    </row>
    <row r="81" customFormat="false" ht="15" hidden="false" customHeight="false" outlineLevel="0" collapsed="false">
      <c r="B81" s="173" t="str">
        <f aca="false">IF(AND(калькулятор!D$17&gt;0,калькулятор!D$17&lt;&gt;"Ключевая"),калькулятор!E$17,"")</f>
        <v>Мотивационная веха 2</v>
      </c>
      <c r="C81" s="174" t="str">
        <f aca="false">IFERROR(VLOOKUP(B81,калькулятор!E:OJ,MATCH($B73,калькулятор!$3:$3,0)-5,0),"")</f>
        <v/>
      </c>
      <c r="D81" s="175" t="n">
        <f aca="false">IFERROR(IF(VLOOKUP(B81,калькулятор!E:J,6,0)=0,"",VLOOKUP(B81,калькулятор!E:J,6,0)),"")</f>
        <v>45971</v>
      </c>
      <c r="E81" s="176" t="str">
        <f aca="false">IF(B81="Финальная веха*",0,IF(D81="","",IF(B81="","",IFERROR(C81/67*33,""))))</f>
        <v/>
      </c>
      <c r="F81" s="177"/>
      <c r="H81" s="130"/>
      <c r="I81" s="178"/>
      <c r="J81" s="179" t="n">
        <f aca="false">IFERROR(K78-D81,"")</f>
        <v>457</v>
      </c>
      <c r="K81" s="180" t="str">
        <f aca="false">IFERROR(IF(OR(C73="КУПК",C73="КУПК (РП/ЗРП)"),E81*I81/365*J81*0.5,E81*I81/365*J81),"")</f>
        <v/>
      </c>
      <c r="L81" s="178" t="n">
        <f aca="false">I81</f>
        <v>0</v>
      </c>
      <c r="M81" s="179" t="str">
        <f aca="false">IFERROR(N78-$D81,"")</f>
        <v/>
      </c>
      <c r="N81" s="180" t="str">
        <f aca="false">IFERROR(IF(OR(C73="КУПК",C73="КУПК (РП/ЗРП)"),E81*L81/365*M81*0.25,0),"")</f>
        <v/>
      </c>
      <c r="O81" s="181" t="n">
        <f aca="false">I81</f>
        <v>0</v>
      </c>
      <c r="P81" s="179" t="str">
        <f aca="false">IFERROR(Q78-$D81,"")</f>
        <v/>
      </c>
      <c r="Q81" s="180" t="str">
        <f aca="false">IFERROR(IF(OR(C73="КУПК",C73="КУПК (РП/ЗРП)"),E81*O81/365*P81*0.25,0),"")</f>
        <v/>
      </c>
      <c r="S81" s="152"/>
      <c r="T81" s="130"/>
      <c r="V81" s="129"/>
      <c r="W81" s="130"/>
      <c r="Y81" s="129"/>
    </row>
    <row r="82" customFormat="false" ht="15" hidden="false" customHeight="false" outlineLevel="0" collapsed="false">
      <c r="B82" s="173" t="str">
        <f aca="false">IF(AND(калькулятор!D$18&gt;0,калькулятор!D$18&lt;&gt;"Ключевая"),калькулятор!E$18,"")</f>
        <v>Мотивационная веха 3</v>
      </c>
      <c r="C82" s="174" t="str">
        <f aca="false">IFERROR(VLOOKUP(B82,калькулятор!E:OJ,MATCH($B73,калькулятор!$3:$3,0)-5,0),"")</f>
        <v/>
      </c>
      <c r="D82" s="175" t="n">
        <f aca="false">IFERROR(IF(VLOOKUP(B82,калькулятор!E:J,6,0)=0,"",VLOOKUP(B82,калькулятор!E:J,6,0)),"")</f>
        <v>46063</v>
      </c>
      <c r="E82" s="176" t="str">
        <f aca="false">IF(B82="Финальная веха*",0,IF(D82="","",IF(B82="","",IFERROR(C82/67*33,""))))</f>
        <v/>
      </c>
      <c r="F82" s="177"/>
      <c r="H82" s="130"/>
      <c r="I82" s="178"/>
      <c r="J82" s="179" t="n">
        <f aca="false">IFERROR(K78-D82,"")</f>
        <v>365</v>
      </c>
      <c r="K82" s="180" t="str">
        <f aca="false">IFERROR(IF(OR(C73="КУПК",C73="КУПК (РП/ЗРП)"),E82*I82/365*J82*0.5,E82*I82/365*J82),"")</f>
        <v/>
      </c>
      <c r="L82" s="178" t="n">
        <f aca="false">I82</f>
        <v>0</v>
      </c>
      <c r="M82" s="179" t="str">
        <f aca="false">IFERROR(N78-$D82,"")</f>
        <v/>
      </c>
      <c r="N82" s="180" t="str">
        <f aca="false">IFERROR(IF(OR(C73="КУПК",C73="КУПК (РП/ЗРП)"),E82*L82/365*M82*0.25,0),"")</f>
        <v/>
      </c>
      <c r="O82" s="181" t="n">
        <f aca="false">I82</f>
        <v>0</v>
      </c>
      <c r="P82" s="179" t="str">
        <f aca="false">IFERROR(Q78-$D82,"")</f>
        <v/>
      </c>
      <c r="Q82" s="180" t="str">
        <f aca="false">IFERROR(IF(OR(C73="КУПК",C73="КУПК (РП/ЗРП)"),E82*O82/365*P82*0.25,0),"")</f>
        <v/>
      </c>
      <c r="S82" s="152"/>
      <c r="T82" s="130"/>
      <c r="V82" s="129"/>
      <c r="W82" s="130"/>
      <c r="Y82" s="129"/>
    </row>
    <row r="83" customFormat="false" ht="15" hidden="false" customHeight="false" outlineLevel="0" collapsed="false">
      <c r="B83" s="173" t="str">
        <f aca="false">IF(AND(калькулятор!D$19&gt;0,калькулятор!D$19&lt;&gt;"Ключевая"),калькулятор!E$19,"")</f>
        <v>Мотивационная веха 4</v>
      </c>
      <c r="C83" s="174" t="str">
        <f aca="false">IFERROR(VLOOKUP(B83,калькулятор!E:OJ,MATCH($B73,калькулятор!$3:$3,0)-5,0),"")</f>
        <v/>
      </c>
      <c r="D83" s="175" t="n">
        <f aca="false">IFERROR(IF(VLOOKUP(B83,калькулятор!E:J,6,0)=0,"",VLOOKUP(B83,калькулятор!E:J,6,0)),"")</f>
        <v>46152</v>
      </c>
      <c r="E83" s="176" t="str">
        <f aca="false">IF(B83="Финальная веха*",0,IF(D83="","",IF(B83="","",IFERROR(C83/67*33,""))))</f>
        <v/>
      </c>
      <c r="F83" s="177"/>
      <c r="H83" s="130"/>
      <c r="I83" s="178"/>
      <c r="J83" s="179" t="n">
        <f aca="false">IFERROR(K78-D83,"")</f>
        <v>276</v>
      </c>
      <c r="K83" s="180" t="str">
        <f aca="false">IFERROR(IF(OR(C73="КУПК",C73="КУПК (РП/ЗРП)"),E83*I83/365*J83*0.5,E83*I83/365*J83),"")</f>
        <v/>
      </c>
      <c r="L83" s="178" t="n">
        <f aca="false">I83</f>
        <v>0</v>
      </c>
      <c r="M83" s="179" t="str">
        <f aca="false">IFERROR(N78-$D83,"")</f>
        <v/>
      </c>
      <c r="N83" s="180" t="str">
        <f aca="false">IFERROR(IF(OR(C73="КУПК",C73="КУПК (РП/ЗРП)"),E83*L83/365*M83*0.25,0),"")</f>
        <v/>
      </c>
      <c r="O83" s="181" t="n">
        <f aca="false">I83</f>
        <v>0</v>
      </c>
      <c r="P83" s="179" t="str">
        <f aca="false">IFERROR(Q78-$D83,"")</f>
        <v/>
      </c>
      <c r="Q83" s="180" t="str">
        <f aca="false">IFERROR(IF(OR(C73="КУПК",C73="КУПК (РП/ЗРП)"),E83*O83/365*P83*0.25,0),"")</f>
        <v/>
      </c>
      <c r="S83" s="152"/>
      <c r="T83" s="130"/>
      <c r="V83" s="129"/>
      <c r="W83" s="130"/>
      <c r="Y83" s="129"/>
    </row>
    <row r="84" customFormat="false" ht="15" hidden="false" customHeight="false" outlineLevel="0" collapsed="false">
      <c r="B84" s="173" t="str">
        <f aca="false">IF(AND(калькулятор!D$20&gt;0,калькулятор!D$20&lt;&gt;"Ключевая"),калькулятор!E$20,"")</f>
        <v>Мотивационная веха 5</v>
      </c>
      <c r="C84" s="174" t="str">
        <f aca="false">IFERROR(VLOOKUP(B84,калькулятор!E:OJ,MATCH($B73,калькулятор!$3:$3,0)-5,0),"")</f>
        <v/>
      </c>
      <c r="D84" s="175" t="n">
        <f aca="false">IFERROR(IF(VLOOKUP(B84,калькулятор!E:J,6,0)=0,"",VLOOKUP(B84,калькулятор!E:J,6,0)),"")</f>
        <v>46244</v>
      </c>
      <c r="E84" s="176" t="str">
        <f aca="false">IF(B84="Финальная веха*",0,IF(D84="","",IF(B84="","",IFERROR(C84/67*33,""))))</f>
        <v/>
      </c>
      <c r="F84" s="182"/>
      <c r="H84" s="130"/>
      <c r="I84" s="178"/>
      <c r="J84" s="179" t="n">
        <f aca="false">IFERROR(K78-D84,"")</f>
        <v>184</v>
      </c>
      <c r="K84" s="180" t="str">
        <f aca="false">IFERROR(IF(OR(C73="КУПК",C73="КУПК (РП/ЗРП)"),E84*I84/365*J84*0.5,E84*I84/365*J84),"")</f>
        <v/>
      </c>
      <c r="L84" s="178" t="n">
        <f aca="false">I84</f>
        <v>0</v>
      </c>
      <c r="M84" s="179" t="str">
        <f aca="false">IFERROR(N78-$D84,"")</f>
        <v/>
      </c>
      <c r="N84" s="180" t="str">
        <f aca="false">IFERROR(IF(OR(C73="КУПК",C73="КУПК (РП/ЗРП)"),E84*L84/365*M84*0.25,0),"")</f>
        <v/>
      </c>
      <c r="O84" s="181" t="n">
        <f aca="false">I84</f>
        <v>0</v>
      </c>
      <c r="P84" s="179" t="str">
        <f aca="false">IFERROR(Q78-$D84,"")</f>
        <v/>
      </c>
      <c r="Q84" s="180" t="str">
        <f aca="false">IFERROR(IF(OR(C73="КУПК",C73="КУПК (РП/ЗРП)"),E84*O84/365*P84*0.25,0),"")</f>
        <v/>
      </c>
      <c r="S84" s="152"/>
      <c r="T84" s="130"/>
      <c r="V84" s="129"/>
      <c r="W84" s="130"/>
      <c r="Y84" s="129"/>
    </row>
    <row r="85" customFormat="false" ht="15" hidden="false" customHeight="false" outlineLevel="0" collapsed="false">
      <c r="B85" s="173" t="str">
        <f aca="false">IF(AND(калькулятор!D$21&gt;0,калькулятор!D$21&lt;&gt;"Ключевая"),калькулятор!E$21,"")</f>
        <v>Мотивационная веха 6</v>
      </c>
      <c r="C85" s="174" t="str">
        <f aca="false">IFERROR(VLOOKUP(B85,калькулятор!E:OJ,MATCH($B73,калькулятор!$3:$3,0)-5,0),"")</f>
        <v/>
      </c>
      <c r="D85" s="175" t="n">
        <f aca="false">IFERROR(IF(VLOOKUP(B85,калькулятор!E:J,6,0)=0,"",VLOOKUP(B85,калькулятор!E:J,6,0)),"")</f>
        <v>46336</v>
      </c>
      <c r="E85" s="176" t="str">
        <f aca="false">IF(B85="Финальная веха*",0,IF(D85="","",IF(B85="","",IFERROR(C85/67*33,""))))</f>
        <v/>
      </c>
      <c r="F85" s="177"/>
      <c r="H85" s="130"/>
      <c r="I85" s="178"/>
      <c r="J85" s="179" t="n">
        <f aca="false">IFERROR(K78-D85,"")</f>
        <v>92</v>
      </c>
      <c r="K85" s="180" t="str">
        <f aca="false">IFERROR(IF(OR(C73="КУПК",C73="КУПК (РП/ЗРП)"),E85*I85/365*J85*0.5,E85*I85/365*J85),"")</f>
        <v/>
      </c>
      <c r="L85" s="178" t="n">
        <f aca="false">I85</f>
        <v>0</v>
      </c>
      <c r="M85" s="179" t="str">
        <f aca="false">IFERROR(N78-$D85,"")</f>
        <v/>
      </c>
      <c r="N85" s="180" t="str">
        <f aca="false">IFERROR(IF(OR(C73="КУПК",C73="КУПК (РП/ЗРП)"),E85*L85/365*M85*0.25,0),"")</f>
        <v/>
      </c>
      <c r="O85" s="181" t="n">
        <f aca="false">I85</f>
        <v>0</v>
      </c>
      <c r="P85" s="179" t="str">
        <f aca="false">IFERROR(Q78-$D85,"")</f>
        <v/>
      </c>
      <c r="Q85" s="180" t="str">
        <f aca="false">IFERROR(IF(OR(C73="КУПК",C73="КУПК (РП/ЗРП)"),E85*O85/365*P85*0.25,0),"")</f>
        <v/>
      </c>
      <c r="S85" s="152"/>
      <c r="T85" s="130"/>
      <c r="V85" s="129"/>
      <c r="W85" s="130"/>
      <c r="Y85" s="129"/>
    </row>
    <row r="86" customFormat="false" ht="15" hidden="false" customHeight="false" outlineLevel="0" collapsed="false">
      <c r="B86" s="173" t="n">
        <f aca="false">IF(AND(калькулятор!D$22&gt;0,калькулятор!D$22&lt;&gt;"Ключевая"),калькулятор!E$22,"")</f>
        <v>0</v>
      </c>
      <c r="C86" s="174" t="str">
        <f aca="false">IFERROR(VLOOKUP(B86,калькулятор!E:OJ,MATCH($B73,калькулятор!$3:$3,0)-5,0),"")</f>
        <v/>
      </c>
      <c r="D86" s="175" t="str">
        <f aca="false">IFERROR(IF(VLOOKUP(B86,калькулятор!E:J,6,0)=0,"",VLOOKUP(B86,калькулятор!E:J,6,0)),"")</f>
        <v/>
      </c>
      <c r="E86" s="176" t="str">
        <f aca="false">IF(B86="Финальная веха*",0,IF(D86="","",IF(B86="","",IFERROR(C86/67*33,""))))</f>
        <v/>
      </c>
      <c r="F86" s="177"/>
      <c r="H86" s="130"/>
      <c r="I86" s="178"/>
      <c r="J86" s="179" t="str">
        <f aca="false">IFERROR(K78-D86,"")</f>
        <v/>
      </c>
      <c r="K86" s="180" t="str">
        <f aca="false">IFERROR(IF(OR(C73="КУПК",C73="КУПК (РП/ЗРП)"),E86*I86/365*J86*0.5,E86*I86/365*J86),"")</f>
        <v/>
      </c>
      <c r="L86" s="178" t="n">
        <f aca="false">I86</f>
        <v>0</v>
      </c>
      <c r="M86" s="179" t="str">
        <f aca="false">IFERROR(N78-$D86,"")</f>
        <v/>
      </c>
      <c r="N86" s="180" t="str">
        <f aca="false">IFERROR(IF(OR(C73="КУПК",C73="КУПК (РП/ЗРП)"),E86*L86/365*M86*0.25,0),"")</f>
        <v/>
      </c>
      <c r="O86" s="181" t="n">
        <f aca="false">I86</f>
        <v>0</v>
      </c>
      <c r="P86" s="179" t="str">
        <f aca="false">IFERROR(Q78-$D86,"")</f>
        <v/>
      </c>
      <c r="Q86" s="180" t="str">
        <f aca="false">IFERROR(IF(OR(C73="КУПК",C73="КУПК (РП/ЗРП)"),E86*O86/365*P86*0.25,0),"")</f>
        <v/>
      </c>
      <c r="S86" s="152"/>
      <c r="T86" s="130"/>
      <c r="V86" s="129"/>
      <c r="W86" s="130"/>
      <c r="Y86" s="129"/>
    </row>
    <row r="87" customFormat="false" ht="15" hidden="false" customHeight="false" outlineLevel="0" collapsed="false">
      <c r="B87" s="173" t="n">
        <f aca="false">IF(AND(калькулятор!D$23&gt;0,калькулятор!D$23&lt;&gt;"Ключевая"),калькулятор!E$23,"")</f>
        <v>0</v>
      </c>
      <c r="C87" s="174" t="str">
        <f aca="false">IFERROR(VLOOKUP(B87,калькулятор!E:OJ,MATCH($B73,калькулятор!$3:$3,0)-5,0),"")</f>
        <v/>
      </c>
      <c r="D87" s="175" t="str">
        <f aca="false">IFERROR(IF(VLOOKUP(B87,калькулятор!E:J,6,0)=0,"",VLOOKUP(B87,калькулятор!E:J,6,0)),"")</f>
        <v/>
      </c>
      <c r="E87" s="176" t="str">
        <f aca="false">IF(B87="Финальная веха*",0,IF(D87="","",IF(B87="","",IFERROR(C87/67*33,""))))</f>
        <v/>
      </c>
      <c r="F87" s="177"/>
      <c r="H87" s="130"/>
      <c r="I87" s="178"/>
      <c r="J87" s="179" t="str">
        <f aca="false">IFERROR(K78-D87,"")</f>
        <v/>
      </c>
      <c r="K87" s="180" t="str">
        <f aca="false">IFERROR(IF(OR(C73="КУПК",C73="КУПК (РП/ЗРП)"),E87*I87/365*J87*0.5,E87*I87/365*J87),"")</f>
        <v/>
      </c>
      <c r="L87" s="178" t="n">
        <f aca="false">I87</f>
        <v>0</v>
      </c>
      <c r="M87" s="179" t="str">
        <f aca="false">IFERROR(N78-$D87,"")</f>
        <v/>
      </c>
      <c r="N87" s="180" t="str">
        <f aca="false">IFERROR(IF(OR(C73="КУПК",C73="КУПК (РП/ЗРП)"),E87*L87/365*M87*0.25,0),"")</f>
        <v/>
      </c>
      <c r="O87" s="181" t="n">
        <f aca="false">I87</f>
        <v>0</v>
      </c>
      <c r="P87" s="179" t="str">
        <f aca="false">IFERROR(Q78-$D87,"")</f>
        <v/>
      </c>
      <c r="Q87" s="180" t="str">
        <f aca="false">IFERROR(IF(OR(C73="КУПК",C73="КУПК (РП/ЗРП)"),E87*O87/365*P87*0.25,0),"")</f>
        <v/>
      </c>
      <c r="S87" s="152"/>
      <c r="T87" s="130"/>
      <c r="V87" s="129"/>
      <c r="W87" s="130"/>
      <c r="Y87" s="129"/>
    </row>
    <row r="88" customFormat="false" ht="15" hidden="false" customHeight="false" outlineLevel="0" collapsed="false">
      <c r="B88" s="173" t="n">
        <f aca="false">IF(AND(калькулятор!D$24&gt;0,калькулятор!D$24&lt;&gt;"Ключевая"),калькулятор!E$24,"")</f>
        <v>0</v>
      </c>
      <c r="C88" s="174" t="str">
        <f aca="false">IFERROR(VLOOKUP(B88,калькулятор!E:OJ,MATCH($B73,калькулятор!$3:$3,0)-5,0),"")</f>
        <v/>
      </c>
      <c r="D88" s="175" t="str">
        <f aca="false">IFERROR(IF(VLOOKUP(B88,калькулятор!E:J,6,0)=0,"",VLOOKUP(B88,калькулятор!E:J,6,0)),"")</f>
        <v/>
      </c>
      <c r="E88" s="176" t="str">
        <f aca="false">IF(B88="Финальная веха*",0,IF(D88="","",IF(B88="","",IFERROR(C88/67*33,""))))</f>
        <v/>
      </c>
      <c r="F88" s="177"/>
      <c r="H88" s="130"/>
      <c r="I88" s="178"/>
      <c r="J88" s="179" t="str">
        <f aca="false">IFERROR(K78-D88,"")</f>
        <v/>
      </c>
      <c r="K88" s="180" t="str">
        <f aca="false">IFERROR(IF(OR(C73="КУПК",C73="КУПК (РП/ЗРП)"),E88*I88/365*J88*0.5,E88*I88/365*J88),"")</f>
        <v/>
      </c>
      <c r="L88" s="178" t="n">
        <f aca="false">I88</f>
        <v>0</v>
      </c>
      <c r="M88" s="179" t="str">
        <f aca="false">IFERROR(N78-$D88,"")</f>
        <v/>
      </c>
      <c r="N88" s="180" t="str">
        <f aca="false">IFERROR(IF(OR(C73="КУПК",C73="КУПК (РП/ЗРП)"),E88*L88/365*M88*0.25,0),"")</f>
        <v/>
      </c>
      <c r="O88" s="181" t="n">
        <f aca="false">I88</f>
        <v>0</v>
      </c>
      <c r="P88" s="179" t="str">
        <f aca="false">IFERROR(Q78-$D88,"")</f>
        <v/>
      </c>
      <c r="Q88" s="180" t="str">
        <f aca="false">IFERROR(IF(OR(C73="КУПК",C73="КУПК (РП/ЗРП)"),E88*O88/365*P88*0.25,0),"")</f>
        <v/>
      </c>
      <c r="S88" s="152"/>
      <c r="T88" s="130"/>
      <c r="V88" s="129"/>
      <c r="W88" s="130"/>
      <c r="Y88" s="129"/>
    </row>
    <row r="89" customFormat="false" ht="15" hidden="false" customHeight="false" outlineLevel="0" collapsed="false">
      <c r="B89" s="173" t="n">
        <f aca="false">IF(AND(калькулятор!D$25&gt;0,калькулятор!D$25&lt;&gt;"Ключевая"),калькулятор!E$25,"")</f>
        <v>0</v>
      </c>
      <c r="C89" s="174" t="str">
        <f aca="false">IFERROR(VLOOKUP(B89,калькулятор!E:OJ,MATCH($B73,калькулятор!$3:$3,0)-5,0),"")</f>
        <v/>
      </c>
      <c r="D89" s="175" t="str">
        <f aca="false">IFERROR(IF(VLOOKUP(B89,калькулятор!E:J,6,0)=0,"",VLOOKUP(B89,калькулятор!E:J,6,0)),"")</f>
        <v/>
      </c>
      <c r="E89" s="176" t="str">
        <f aca="false">IF(B89="Финальная веха*",0,IF(D89="","",IF(B89="","",IFERROR(C89/67*33,""))))</f>
        <v/>
      </c>
      <c r="F89" s="177"/>
      <c r="H89" s="130"/>
      <c r="I89" s="178"/>
      <c r="J89" s="179" t="str">
        <f aca="false">IFERROR(K78-D89,"")</f>
        <v/>
      </c>
      <c r="K89" s="180" t="str">
        <f aca="false">IFERROR(IF(OR(C73="КУПК",C73="КУПК (РП/ЗРП)"),E89*I89/365*J89*0.5,E89*I89/365*J89),"")</f>
        <v/>
      </c>
      <c r="L89" s="178" t="n">
        <f aca="false">I89</f>
        <v>0</v>
      </c>
      <c r="M89" s="179" t="str">
        <f aca="false">IFERROR(N78-$D89,"")</f>
        <v/>
      </c>
      <c r="N89" s="180" t="str">
        <f aca="false">IFERROR(IF(OR(C73="КУПК",C73="КУПК (РП/ЗРП)"),E89*L89/365*M89*0.25,0),"")</f>
        <v/>
      </c>
      <c r="O89" s="181" t="n">
        <f aca="false">I89</f>
        <v>0</v>
      </c>
      <c r="P89" s="179" t="str">
        <f aca="false">IFERROR(Q78-$D89,"")</f>
        <v/>
      </c>
      <c r="Q89" s="180" t="str">
        <f aca="false">IFERROR(IF(OR(C73="КУПК",C73="КУПК (РП/ЗРП)"),E89*O89/365*P89*0.25,0),"")</f>
        <v/>
      </c>
      <c r="S89" s="152"/>
      <c r="T89" s="130"/>
      <c r="V89" s="129"/>
      <c r="W89" s="130"/>
      <c r="Y89" s="129"/>
    </row>
    <row r="90" customFormat="false" ht="15" hidden="false" customHeight="false" outlineLevel="0" collapsed="false">
      <c r="B90" s="173" t="n">
        <f aca="false">IF(AND(калькулятор!D$26&gt;0,калькулятор!D$26&lt;&gt;"Ключевая"),калькулятор!E$26,"")</f>
        <v>0</v>
      </c>
      <c r="C90" s="174" t="str">
        <f aca="false">IFERROR(VLOOKUP(B90,калькулятор!E:OJ,MATCH($B73,калькулятор!$3:$3,0)-5,0),"")</f>
        <v/>
      </c>
      <c r="D90" s="175" t="str">
        <f aca="false">IFERROR(IF(VLOOKUP(B90,калькулятор!E:J,6,0)=0,"",VLOOKUP(B90,калькулятор!E:J,6,0)),"")</f>
        <v/>
      </c>
      <c r="E90" s="176" t="str">
        <f aca="false">IF(B90="Финальная веха*",0,IF(D90="","",IF(B90="","",IFERROR(C90/67*33,""))))</f>
        <v/>
      </c>
      <c r="F90" s="177"/>
      <c r="H90" s="130"/>
      <c r="I90" s="178"/>
      <c r="J90" s="179" t="str">
        <f aca="false">IFERROR(K78-D90,"")</f>
        <v/>
      </c>
      <c r="K90" s="180" t="str">
        <f aca="false">IFERROR(IF(OR(C73="КУПК",C73="КУПК (РП/ЗРП)"),E90*I90/365*J90*0.5,E90*I90/365*J90),"")</f>
        <v/>
      </c>
      <c r="L90" s="178" t="n">
        <f aca="false">I90</f>
        <v>0</v>
      </c>
      <c r="M90" s="179" t="str">
        <f aca="false">IFERROR(N78-$D90,"")</f>
        <v/>
      </c>
      <c r="N90" s="180" t="str">
        <f aca="false">IFERROR(IF(OR(C73="КУПК",C73="КУПК (РП/ЗРП)"),E90*L90/365*M90*0.25,0),"")</f>
        <v/>
      </c>
      <c r="O90" s="181" t="n">
        <f aca="false">I90</f>
        <v>0</v>
      </c>
      <c r="P90" s="179" t="str">
        <f aca="false">IFERROR(Q78-$D90,"")</f>
        <v/>
      </c>
      <c r="Q90" s="180" t="str">
        <f aca="false">IFERROR(IF(OR(C73="КУПК",C73="КУПК (РП/ЗРП)"),E90*O90/365*P90*0.25,0),"")</f>
        <v/>
      </c>
      <c r="S90" s="152"/>
      <c r="T90" s="130"/>
      <c r="V90" s="129"/>
      <c r="W90" s="130"/>
      <c r="Y90" s="129"/>
    </row>
    <row r="91" customFormat="false" ht="15" hidden="false" customHeight="false" outlineLevel="0" collapsed="false">
      <c r="B91" s="173" t="n">
        <f aca="false">IF(AND(калькулятор!D$27&gt;0,калькулятор!D$27&lt;&gt;"Ключевая"),калькулятор!E$27,"")</f>
        <v>0</v>
      </c>
      <c r="C91" s="174" t="str">
        <f aca="false">IFERROR(VLOOKUP(B91,калькулятор!E:OJ,MATCH($B73,калькулятор!$3:$3,0)-5,0),"")</f>
        <v/>
      </c>
      <c r="D91" s="175" t="str">
        <f aca="false">IFERROR(IF(VLOOKUP(B91,калькулятор!E:J,6,0)=0,"",VLOOKUP(B91,калькулятор!E:J,6,0)),"")</f>
        <v/>
      </c>
      <c r="E91" s="176" t="str">
        <f aca="false">IF(B91="Финальная веха*",0,IF(D91="","",IF(B91="","",IFERROR(C91/67*33,""))))</f>
        <v/>
      </c>
      <c r="F91" s="177"/>
      <c r="H91" s="130"/>
      <c r="I91" s="178"/>
      <c r="J91" s="179" t="str">
        <f aca="false">IFERROR(K78-D91,"")</f>
        <v/>
      </c>
      <c r="K91" s="180" t="str">
        <f aca="false">IFERROR(IF(OR(C73="КУПК",C73="КУПК (РП/ЗРП)"),E91*I91/365*J91*0.5,E91*I91/365*J91),"")</f>
        <v/>
      </c>
      <c r="L91" s="178" t="n">
        <f aca="false">I91</f>
        <v>0</v>
      </c>
      <c r="M91" s="179" t="str">
        <f aca="false">IFERROR(N78-$D91,"")</f>
        <v/>
      </c>
      <c r="N91" s="180" t="str">
        <f aca="false">IFERROR(IF(OR(C73="КУПК",C73="КУПК (РП/ЗРП)"),E91*L91/365*M91*0.25,0),"")</f>
        <v/>
      </c>
      <c r="O91" s="181" t="n">
        <f aca="false">I91</f>
        <v>0</v>
      </c>
      <c r="P91" s="179" t="str">
        <f aca="false">IFERROR(Q78-$D91,"")</f>
        <v/>
      </c>
      <c r="Q91" s="180" t="str">
        <f aca="false">IFERROR(IF(OR(C73="КУПК",C73="КУПК (РП/ЗРП)"),E91*O91/365*P91*0.25,0),"")</f>
        <v/>
      </c>
      <c r="S91" s="152"/>
      <c r="T91" s="130"/>
      <c r="V91" s="129"/>
      <c r="W91" s="130"/>
      <c r="Y91" s="129"/>
    </row>
    <row r="92" customFormat="false" ht="15" hidden="false" customHeight="false" outlineLevel="0" collapsed="false">
      <c r="B92" s="173" t="n">
        <f aca="false">IF(AND(калькулятор!D$28&gt;0,калькулятор!D$28&lt;&gt;"Ключевая"),калькулятор!E$28,"")</f>
        <v>0</v>
      </c>
      <c r="C92" s="174" t="str">
        <f aca="false">IFERROR(VLOOKUP(B92,калькулятор!E:OJ,MATCH($B73,калькулятор!$3:$3,0)-5,0),"")</f>
        <v/>
      </c>
      <c r="D92" s="175" t="str">
        <f aca="false">IFERROR(IF(VLOOKUP(B92,калькулятор!E:J,6,0)=0,"",VLOOKUP(B92,калькулятор!E:J,6,0)),"")</f>
        <v/>
      </c>
      <c r="E92" s="176" t="str">
        <f aca="false">IF(B92="Финальная веха*",0,IF(D92="","",IF(B92="","",IFERROR(C92/67*33,""))))</f>
        <v/>
      </c>
      <c r="F92" s="177"/>
      <c r="H92" s="130"/>
      <c r="I92" s="178"/>
      <c r="J92" s="179" t="str">
        <f aca="false">IFERROR(K78-D92,"")</f>
        <v/>
      </c>
      <c r="K92" s="180" t="str">
        <f aca="false">IFERROR(IF(OR(C73="КУПК",C73="КУПК (РП/ЗРП)"),E92*I92/365*J92*0.5,E92*I92/365*J92),"")</f>
        <v/>
      </c>
      <c r="L92" s="178" t="n">
        <f aca="false">I92</f>
        <v>0</v>
      </c>
      <c r="M92" s="179" t="str">
        <f aca="false">IFERROR(N78-$D92,"")</f>
        <v/>
      </c>
      <c r="N92" s="180" t="str">
        <f aca="false">IFERROR(IF(OR(C73="КУПК",C73="КУПК (РП/ЗРП)"),E92*L92/365*M92*0.25,0),"")</f>
        <v/>
      </c>
      <c r="O92" s="181" t="n">
        <f aca="false">I92</f>
        <v>0</v>
      </c>
      <c r="P92" s="179" t="str">
        <f aca="false">IFERROR(Q78-$D92,"")</f>
        <v/>
      </c>
      <c r="Q92" s="180" t="str">
        <f aca="false">IFERROR(IF(OR(C73="КУПК",C73="КУПК (РП/ЗРП)"),E92*O92/365*P92*0.25,0),"")</f>
        <v/>
      </c>
      <c r="S92" s="152"/>
      <c r="T92" s="130"/>
      <c r="V92" s="129"/>
      <c r="W92" s="130"/>
      <c r="Y92" s="129"/>
    </row>
    <row r="93" customFormat="false" ht="15" hidden="false" customHeight="false" outlineLevel="0" collapsed="false">
      <c r="B93" s="173" t="n">
        <f aca="false">IF(AND(калькулятор!D$29&gt;0,калькулятор!D$29&lt;&gt;"Ключевая"),калькулятор!E$29,"")</f>
        <v>0</v>
      </c>
      <c r="C93" s="174" t="str">
        <f aca="false">IFERROR(VLOOKUP(B93,калькулятор!E:OJ,MATCH($B73,калькулятор!$3:$3,0)-5,0),"")</f>
        <v/>
      </c>
      <c r="D93" s="175" t="str">
        <f aca="false">IFERROR(IF(VLOOKUP(B93,калькулятор!E:J,6,0)=0,"",VLOOKUP(B93,калькулятор!E:J,6,0)),"")</f>
        <v/>
      </c>
      <c r="E93" s="176" t="str">
        <f aca="false">IF(B93="Финальная веха*",0,IF(D93="","",IF(B93="","",IFERROR(C93/67*33,""))))</f>
        <v/>
      </c>
      <c r="F93" s="177"/>
      <c r="H93" s="130"/>
      <c r="I93" s="178"/>
      <c r="J93" s="179" t="str">
        <f aca="false">IFERROR(K78-D93,"")</f>
        <v/>
      </c>
      <c r="K93" s="180" t="str">
        <f aca="false">IFERROR(IF(OR(C73="КУПК",C73="КУПК (РП/ЗРП)"),E93*I93/365*J93*0.5,E93*I93/365*J93),"")</f>
        <v/>
      </c>
      <c r="L93" s="178" t="n">
        <f aca="false">I93</f>
        <v>0</v>
      </c>
      <c r="M93" s="179" t="str">
        <f aca="false">IFERROR(N78-$D93,"")</f>
        <v/>
      </c>
      <c r="N93" s="180" t="str">
        <f aca="false">IFERROR(IF(OR(C73="КУПК",C73="КУПК (РП/ЗРП)"),E93*L93/365*M93*0.25,0),"")</f>
        <v/>
      </c>
      <c r="O93" s="181" t="n">
        <f aca="false">I93</f>
        <v>0</v>
      </c>
      <c r="P93" s="179" t="str">
        <f aca="false">IFERROR(Q78-$D93,"")</f>
        <v/>
      </c>
      <c r="Q93" s="180" t="str">
        <f aca="false">IFERROR(IF(OR(C73="КУПК",C73="КУПК (РП/ЗРП)"),E93*O93/365*P93*0.25,0),"")</f>
        <v/>
      </c>
      <c r="S93" s="152"/>
      <c r="T93" s="130"/>
      <c r="V93" s="129"/>
      <c r="W93" s="130"/>
      <c r="Y93" s="129"/>
    </row>
    <row r="94" customFormat="false" ht="15" hidden="false" customHeight="false" outlineLevel="0" collapsed="false">
      <c r="B94" s="173" t="n">
        <f aca="false">IF(AND(калькулятор!D$30&gt;0,калькулятор!D$30&lt;&gt;"Ключевая"),калькулятор!E$30,"")</f>
        <v>0</v>
      </c>
      <c r="C94" s="174" t="str">
        <f aca="false">IFERROR(VLOOKUP(B94,калькулятор!E:OJ,MATCH($B73,калькулятор!$3:$3,0)-5,0),"")</f>
        <v/>
      </c>
      <c r="D94" s="175" t="str">
        <f aca="false">IFERROR(IF(VLOOKUP(B94,калькулятор!E:J,6,0)=0,"",VLOOKUP(B94,калькулятор!E:J,6,0)),"")</f>
        <v/>
      </c>
      <c r="E94" s="176" t="str">
        <f aca="false">IF(B94="Финальная веха*",0,IF(D94="","",IF(B94="","",IFERROR(C94/67*33,""))))</f>
        <v/>
      </c>
      <c r="F94" s="177"/>
      <c r="H94" s="130"/>
      <c r="I94" s="178"/>
      <c r="J94" s="179" t="str">
        <f aca="false">IFERROR(K78-D94,"")</f>
        <v/>
      </c>
      <c r="K94" s="180" t="str">
        <f aca="false">IFERROR(IF(OR(C73="КУПК",C73="КУПК (РП/ЗРП)"),E94*I94/365*J94*0.5,E94*I94/365*J94),"")</f>
        <v/>
      </c>
      <c r="L94" s="178" t="n">
        <f aca="false">I94</f>
        <v>0</v>
      </c>
      <c r="M94" s="179" t="str">
        <f aca="false">IFERROR(N78-$D94,"")</f>
        <v/>
      </c>
      <c r="N94" s="180" t="str">
        <f aca="false">IFERROR(IF(OR(C73="КУПК",C73="КУПК (РП/ЗРП)"),E94*L94/365*M94*0.25,0),"")</f>
        <v/>
      </c>
      <c r="O94" s="181" t="n">
        <f aca="false">I94</f>
        <v>0</v>
      </c>
      <c r="P94" s="179" t="str">
        <f aca="false">IFERROR(Q78-$D94,"")</f>
        <v/>
      </c>
      <c r="Q94" s="180" t="str">
        <f aca="false">IFERROR(IF(OR(C73="КУПК",C73="КУПК (РП/ЗРП)"),E94*O94/365*P94*0.25,0),"")</f>
        <v/>
      </c>
      <c r="S94" s="152"/>
      <c r="T94" s="130"/>
      <c r="V94" s="129"/>
      <c r="W94" s="130"/>
      <c r="Y94" s="129"/>
    </row>
    <row r="95" customFormat="false" ht="15" hidden="false" customHeight="false" outlineLevel="0" collapsed="false">
      <c r="B95" s="173" t="n">
        <f aca="false">IF(AND(калькулятор!D$31&gt;0,калькулятор!D$31&lt;&gt;"Ключевая"),калькулятор!E$31,"")</f>
        <v>0</v>
      </c>
      <c r="C95" s="174" t="str">
        <f aca="false">IFERROR(VLOOKUP(B95,калькулятор!E:OJ,MATCH($B73,калькулятор!$3:$3,0)-5,0),"")</f>
        <v/>
      </c>
      <c r="D95" s="175" t="str">
        <f aca="false">IFERROR(IF(VLOOKUP(B95,калькулятор!E:J,6,0)=0,"",VLOOKUP(B95,калькулятор!E:J,6,0)),"")</f>
        <v/>
      </c>
      <c r="E95" s="176" t="str">
        <f aca="false">IF(B95="Финальная веха*",0,IF(D95="","",IF(B95="","",IFERROR(C95/67*33,""))))</f>
        <v/>
      </c>
      <c r="F95" s="177"/>
      <c r="H95" s="130"/>
      <c r="I95" s="178"/>
      <c r="J95" s="179" t="str">
        <f aca="false">IFERROR(K78-D95,"")</f>
        <v/>
      </c>
      <c r="K95" s="180" t="str">
        <f aca="false">IFERROR(IF(OR(C73="КУПК",C73="КУПК (РП/ЗРП)"),E95*I95/365*J95*0.5,E95*I95/365*J95),"")</f>
        <v/>
      </c>
      <c r="L95" s="178" t="n">
        <f aca="false">I95</f>
        <v>0</v>
      </c>
      <c r="M95" s="179" t="str">
        <f aca="false">IFERROR(N78-$D95,"")</f>
        <v/>
      </c>
      <c r="N95" s="180" t="str">
        <f aca="false">IFERROR(IF(OR(C73="КУПК",C73="КУПК (РП/ЗРП)"),E95*L95/365*M95*0.25,0),"")</f>
        <v/>
      </c>
      <c r="O95" s="181" t="n">
        <f aca="false">I95</f>
        <v>0</v>
      </c>
      <c r="P95" s="179" t="str">
        <f aca="false">IFERROR(Q78-$D95,"")</f>
        <v/>
      </c>
      <c r="Q95" s="180" t="str">
        <f aca="false">IFERROR(IF(OR(C73="КУПК",C73="КУПК (РП/ЗРП)"),E95*O95/365*P95*0.25,0),"")</f>
        <v/>
      </c>
      <c r="S95" s="152"/>
      <c r="T95" s="130"/>
      <c r="V95" s="129"/>
      <c r="W95" s="130"/>
      <c r="Y95" s="129"/>
    </row>
    <row r="96" customFormat="false" ht="15" hidden="false" customHeight="false" outlineLevel="0" collapsed="false">
      <c r="B96" s="173" t="n">
        <f aca="false">IF(AND(калькулятор!D$32&gt;0,калькулятор!D$32&lt;&gt;"Ключевая"),калькулятор!E$32,"")</f>
        <v>0</v>
      </c>
      <c r="C96" s="174" t="str">
        <f aca="false">IFERROR(VLOOKUP(B96,калькулятор!E:OJ,MATCH($B73,калькулятор!$3:$3,0)-5,0),"")</f>
        <v/>
      </c>
      <c r="D96" s="175" t="str">
        <f aca="false">IFERROR(IF(VLOOKUP(B96,калькулятор!E:J,6,0)=0,"",VLOOKUP(B96,калькулятор!E:J,6,0)),"")</f>
        <v/>
      </c>
      <c r="E96" s="176" t="str">
        <f aca="false">IF(B96="Финальная веха*",0,IF(D96="","",IF(B96="","",IFERROR(C96/67*33,""))))</f>
        <v/>
      </c>
      <c r="F96" s="177"/>
      <c r="H96" s="130"/>
      <c r="I96" s="178"/>
      <c r="J96" s="179" t="str">
        <f aca="false">IFERROR(K78-D96,"")</f>
        <v/>
      </c>
      <c r="K96" s="180" t="str">
        <f aca="false">IFERROR(IF(OR(C73="КУПК",C73="КУПК (РП/ЗРП)"),E96*I96/365*J96*0.5,E96*I96/365*J96),"")</f>
        <v/>
      </c>
      <c r="L96" s="178" t="n">
        <f aca="false">I96</f>
        <v>0</v>
      </c>
      <c r="M96" s="179" t="str">
        <f aca="false">IFERROR(N78-$D96,"")</f>
        <v/>
      </c>
      <c r="N96" s="180" t="str">
        <f aca="false">IFERROR(IF(OR(C73="КУПК",C73="КУПК (РП/ЗРП)"),E96*L96/365*M96*0.25,0),"")</f>
        <v/>
      </c>
      <c r="O96" s="181" t="n">
        <f aca="false">I96</f>
        <v>0</v>
      </c>
      <c r="P96" s="179" t="str">
        <f aca="false">IFERROR(Q78-$D96,"")</f>
        <v/>
      </c>
      <c r="Q96" s="180" t="str">
        <f aca="false">IFERROR(IF(OR(C73="КУПК",C73="КУПК (РП/ЗРП)"),E96*O96/365*P96*0.25,0),"")</f>
        <v/>
      </c>
      <c r="S96" s="152"/>
      <c r="T96" s="130"/>
      <c r="V96" s="129"/>
      <c r="W96" s="130"/>
      <c r="Y96" s="129"/>
    </row>
    <row r="97" customFormat="false" ht="15" hidden="false" customHeight="false" outlineLevel="0" collapsed="false">
      <c r="B97" s="173" t="n">
        <f aca="false">IF(AND(калькулятор!D$33&gt;0,калькулятор!D$33&lt;&gt;"Ключевая"),калькулятор!E$33,"")</f>
        <v>0</v>
      </c>
      <c r="C97" s="174" t="str">
        <f aca="false">IFERROR(VLOOKUP(B97,калькулятор!E:OJ,MATCH($B73,калькулятор!$3:$3,0)-5,0),"")</f>
        <v/>
      </c>
      <c r="D97" s="175" t="str">
        <f aca="false">IFERROR(IF(VLOOKUP(B97,калькулятор!E:J,6,0)=0,"",VLOOKUP(B97,калькулятор!E:J,6,0)),"")</f>
        <v/>
      </c>
      <c r="E97" s="176" t="str">
        <f aca="false">IF(B97="Финальная веха*",0,IF(D97="","",IF(B97="","",IFERROR(C97/67*33,""))))</f>
        <v/>
      </c>
      <c r="F97" s="177"/>
      <c r="I97" s="178"/>
      <c r="J97" s="179" t="str">
        <f aca="false">IFERROR(K78-D97,"")</f>
        <v/>
      </c>
      <c r="K97" s="180" t="str">
        <f aca="false">IFERROR(IF(OR(C73="КУПК",C73="КУПК (РП/ЗРП)"),E97*I97/365*J97*0.5,E97*I97/365*J97),"")</f>
        <v/>
      </c>
      <c r="L97" s="178" t="n">
        <f aca="false">I97</f>
        <v>0</v>
      </c>
      <c r="M97" s="179" t="str">
        <f aca="false">IFERROR(N78-$D97,"")</f>
        <v/>
      </c>
      <c r="N97" s="180" t="str">
        <f aca="false">IFERROR(IF(OR(C73="КУПК",C73="КУПК (РП/ЗРП)"),E97*L97/365*M97*0.25,0),"")</f>
        <v/>
      </c>
      <c r="O97" s="181" t="n">
        <f aca="false">I97</f>
        <v>0</v>
      </c>
      <c r="P97" s="179" t="str">
        <f aca="false">IFERROR(Q78-$D97,"")</f>
        <v/>
      </c>
      <c r="Q97" s="180" t="str">
        <f aca="false">IFERROR(IF(OR(C73="КУПК",C73="КУПК (РП/ЗРП)"),E97*O97/365*P97*0.25,0),"")</f>
        <v/>
      </c>
      <c r="S97" s="152"/>
      <c r="T97" s="130"/>
      <c r="V97" s="129"/>
      <c r="W97" s="130"/>
      <c r="Y97" s="129"/>
    </row>
    <row r="98" customFormat="false" ht="15" hidden="false" customHeight="false" outlineLevel="0" collapsed="false">
      <c r="B98" s="173" t="n">
        <f aca="false">IF(AND(калькулятор!D$34&gt;0,калькулятор!D$34&lt;&gt;"Ключевая"),калькулятор!E$34,"")</f>
        <v>0</v>
      </c>
      <c r="C98" s="174" t="str">
        <f aca="false">IFERROR(VLOOKUP(B98,калькулятор!E:OJ,MATCH($B73,калькулятор!$3:$3,0)-5,0),"")</f>
        <v/>
      </c>
      <c r="D98" s="175" t="str">
        <f aca="false">IFERROR(IF(VLOOKUP(B98,калькулятор!E:J,6,0)=0,"",VLOOKUP(B98,калькулятор!E:J,6,0)),"")</f>
        <v/>
      </c>
      <c r="E98" s="176" t="str">
        <f aca="false">IF(B98="Финальная веха*",0,IF(D98="","",IF(B98="","",IFERROR(C98/67*33,""))))</f>
        <v/>
      </c>
      <c r="F98" s="177"/>
      <c r="I98" s="178"/>
      <c r="J98" s="179" t="str">
        <f aca="false">IFERROR(K78-D98,"")</f>
        <v/>
      </c>
      <c r="K98" s="180" t="str">
        <f aca="false">IFERROR(IF(OR(C73="КУПК",C73="КУПК (РП/ЗРП)"),E98*I98/365*J98*0.5,E98*I98/365*J98),"")</f>
        <v/>
      </c>
      <c r="L98" s="178" t="n">
        <f aca="false">I98</f>
        <v>0</v>
      </c>
      <c r="M98" s="179" t="str">
        <f aca="false">IFERROR(N78-$D98,"")</f>
        <v/>
      </c>
      <c r="N98" s="180" t="str">
        <f aca="false">IFERROR(IF(OR(C73="КУПК",C73="КУПК (РП/ЗРП)"),E98*L98/365*M98*0.25,0),"")</f>
        <v/>
      </c>
      <c r="O98" s="181" t="n">
        <f aca="false">I98</f>
        <v>0</v>
      </c>
      <c r="P98" s="179" t="str">
        <f aca="false">IFERROR(Q78-$D98,"")</f>
        <v/>
      </c>
      <c r="Q98" s="180" t="str">
        <f aca="false">IFERROR(IF(OR(C73="КУПК",C73="КУПК (РП/ЗРП)"),E98*O98/365*P98*0.25,0),"")</f>
        <v/>
      </c>
      <c r="S98" s="152"/>
      <c r="T98" s="130"/>
      <c r="V98" s="129"/>
      <c r="W98" s="130"/>
      <c r="Y98" s="129"/>
    </row>
    <row r="99" customFormat="false" ht="15" hidden="false" customHeight="false" outlineLevel="0" collapsed="false">
      <c r="B99" s="173" t="n">
        <f aca="false">IF(AND(калькулятор!D$35&gt;0,калькулятор!D$35&lt;&gt;"Ключевая"),калькулятор!E$35,"")</f>
        <v>0</v>
      </c>
      <c r="C99" s="174" t="str">
        <f aca="false">IFERROR(VLOOKUP(B99,калькулятор!E:OJ,MATCH($B73,калькулятор!$3:$3,0)-5,0),"")</f>
        <v/>
      </c>
      <c r="D99" s="175" t="str">
        <f aca="false">IFERROR(IF(VLOOKUP(B99,калькулятор!E:J,6,0)=0,"",VLOOKUP(B99,калькулятор!E:J,6,0)),"")</f>
        <v/>
      </c>
      <c r="E99" s="176" t="str">
        <f aca="false">IF(B99="Финальная веха*",0,IF(D99="","",IF(B99="","",IFERROR(C99/67*33,""))))</f>
        <v/>
      </c>
      <c r="F99" s="177"/>
      <c r="I99" s="178"/>
      <c r="J99" s="179" t="str">
        <f aca="false">IFERROR(K78-D99,"")</f>
        <v/>
      </c>
      <c r="K99" s="180" t="str">
        <f aca="false">IFERROR(IF(OR(C73="КУПК",C73="КУПК (РП/ЗРП)"),E99*I99/365*J99*0.5,E99*I99/365*J99),"")</f>
        <v/>
      </c>
      <c r="L99" s="178" t="n">
        <f aca="false">I99</f>
        <v>0</v>
      </c>
      <c r="M99" s="179" t="str">
        <f aca="false">IFERROR(N78-$D99,"")</f>
        <v/>
      </c>
      <c r="N99" s="180" t="str">
        <f aca="false">IFERROR(IF(OR(C73="КУПК",C73="КУПК (РП/ЗРП)"),E99*L99/365*M99*0.25,0),"")</f>
        <v/>
      </c>
      <c r="O99" s="181" t="n">
        <f aca="false">I99</f>
        <v>0</v>
      </c>
      <c r="P99" s="179" t="str">
        <f aca="false">IFERROR(Q78-$D99,"")</f>
        <v/>
      </c>
      <c r="Q99" s="180" t="str">
        <f aca="false">IFERROR(IF(OR(C73="КУПК",C73="КУПК (РП/ЗРП)"),E99*O99/365*P99*0.25,0),"")</f>
        <v/>
      </c>
      <c r="S99" s="152"/>
      <c r="T99" s="130"/>
      <c r="V99" s="129"/>
      <c r="W99" s="130"/>
      <c r="Y99" s="129"/>
    </row>
    <row r="100" customFormat="false" ht="15.75" hidden="false" customHeight="true" outlineLevel="0" collapsed="false">
      <c r="B100" s="183" t="str">
        <f aca="false" t="array" ref="B100:B100">INDEX(калькулятор!$E$16:$E$305,MATCH(TRUE(),COUNTIF('проценты на отложенную часть'!B80:B99,калькулятор!$E$16:$E$305)=0,0))</f>
        <v>Ключевая веха этапа</v>
      </c>
      <c r="C100" s="184" t="str">
        <f aca="false">IFERROR(VLOOKUP(B100,калькулятор!E:OJ,MATCH(B73,калькулятор!$3:$3,0)-5,0),"")</f>
        <v/>
      </c>
      <c r="D100" s="185"/>
      <c r="E100" s="186"/>
      <c r="F100" s="187"/>
      <c r="I100" s="188"/>
      <c r="J100" s="189"/>
      <c r="K100" s="190"/>
      <c r="L100" s="188"/>
      <c r="M100" s="189"/>
      <c r="N100" s="190"/>
      <c r="O100" s="191"/>
      <c r="P100" s="192"/>
      <c r="Q100" s="193"/>
      <c r="S100" s="152"/>
    </row>
    <row r="101" customFormat="false" ht="15" hidden="false" customHeight="false" outlineLevel="0" collapsed="false">
      <c r="B101" s="194" t="str">
        <f aca="false">"Финальная веха*"</f>
        <v>Финальная веха*</v>
      </c>
      <c r="C101" s="195" t="e">
        <f aca="false">IF(OR(C73="КУПК",C73="КУПК (РП/ЗРП)"),C100*50%,C100)</f>
        <v>#VALUE!</v>
      </c>
      <c r="D101" s="196" t="n">
        <f aca="false">IFERROR(IF(VLOOKUP(B101,калькулятор!E:J,6,0)=0,"",VLOOKUP(B101,калькулятор!E:J,6,0)),"")</f>
        <v>46428</v>
      </c>
      <c r="E101" s="197" t="n">
        <f aca="false">IF(B101="Финальная веха*",0,IF(D101="","",IF(B101="","",IFERROR(C101/67*33,""))))</f>
        <v>0</v>
      </c>
      <c r="F101" s="198"/>
      <c r="I101" s="178"/>
      <c r="J101" s="179" t="n">
        <f aca="false">IFERROR(K78-D101,"")</f>
        <v>0</v>
      </c>
      <c r="K101" s="180" t="str">
        <f aca="false">IFERROR(IF(OR(C73="КУПК",C73="КУПК (РП/ЗРП)"),E101*I101/365*J101*0.5,E101*I101/365*J101),"")</f>
        <v/>
      </c>
      <c r="L101" s="189"/>
      <c r="M101" s="189"/>
      <c r="N101" s="190"/>
      <c r="O101" s="191"/>
      <c r="P101" s="199"/>
      <c r="Q101" s="200"/>
      <c r="S101" s="152"/>
    </row>
    <row r="102" customFormat="false" ht="15" hidden="false" customHeight="false" outlineLevel="0" collapsed="false">
      <c r="B102" s="201" t="e">
        <f aca="false">IF(OR(C73="КУПК",C73="КУПК (РП/ЗРП)"),"Финальная веха (25% ПБ)*","")</f>
        <v>#VALUE!</v>
      </c>
      <c r="C102" s="202" t="e">
        <f aca="false">IF(OR(C73="КУПК",C73="КУПК (РП/ЗРП)"),C100*25%,"")</f>
        <v>#VALUE!</v>
      </c>
      <c r="D102" s="203" t="str">
        <f aca="false">IFERROR(IF(VLOOKUP(B102,калькулятор!E:J,6,0)=0,"",VLOOKUP(B102,калькулятор!E:J,6,0)),"")</f>
        <v/>
      </c>
      <c r="E102" s="176" t="e">
        <f aca="false">C102</f>
        <v>#VALUE!</v>
      </c>
      <c r="F102" s="204"/>
      <c r="I102" s="188"/>
      <c r="J102" s="189"/>
      <c r="K102" s="190"/>
      <c r="L102" s="178"/>
      <c r="M102" s="179" t="e">
        <f aca="false">IF(OR(C73="КУПК",C73="КУПК (РП/ЗРП)"),IF(D101="","",D102-D101),"")</f>
        <v>#VALUE!</v>
      </c>
      <c r="N102" s="180" t="str">
        <f aca="false">IFERROR(IF(D102="","",IF(OR(C73="КУПК",C73="КУПК (РП/ЗРП)"),E102*L102/365*M102,0)),"")</f>
        <v/>
      </c>
      <c r="O102" s="191"/>
      <c r="P102" s="199"/>
      <c r="Q102" s="200"/>
      <c r="S102" s="152"/>
    </row>
    <row r="103" customFormat="false" ht="15.75" hidden="false" customHeight="true" outlineLevel="0" collapsed="false">
      <c r="B103" s="205" t="e">
        <f aca="false">IF(OR(C73="КУПК",C73="КУПК (РП/ЗРП)"),"Финальная веха (25% ПБ) 2 часть*","")</f>
        <v>#VALUE!</v>
      </c>
      <c r="C103" s="206" t="e">
        <f aca="false">IF(OR(C73="КУПК",C73="КУПК (РП/ЗРП)"),C100*25%,"")</f>
        <v>#VALUE!</v>
      </c>
      <c r="D103" s="207" t="str">
        <f aca="false">IFERROR(IF(VLOOKUP(B103,калькулятор!E:J,6,0)=0,"",VLOOKUP(B103,калькулятор!E:J,6,0)),"")</f>
        <v/>
      </c>
      <c r="E103" s="208" t="e">
        <f aca="false">C103</f>
        <v>#VALUE!</v>
      </c>
      <c r="F103" s="209"/>
      <c r="I103" s="188"/>
      <c r="J103" s="189"/>
      <c r="K103" s="190"/>
      <c r="L103" s="188"/>
      <c r="M103" s="189"/>
      <c r="N103" s="190"/>
      <c r="O103" s="181"/>
      <c r="P103" s="179" t="e">
        <f aca="false">IF(OR(C73="КУПК",C73="КУПК (РП/ЗРП)"),IF(D101="","",D103-D101),"")</f>
        <v>#VALUE!</v>
      </c>
      <c r="Q103" s="180" t="str">
        <f aca="false">IFERROR(IF(D103="","",IF(OR(C73="КУПК",C73="КУПК (РП/ЗРП)"),E103*O103/365*P103,0)),"")</f>
        <v/>
      </c>
      <c r="S103" s="210"/>
    </row>
    <row r="104" customFormat="false" ht="15" hidden="false" customHeight="false" outlineLevel="0" collapsed="false">
      <c r="B104" s="150"/>
      <c r="C104" s="211"/>
      <c r="D104" s="130"/>
      <c r="E104" s="130"/>
      <c r="F104" s="130"/>
      <c r="M104" s="129"/>
      <c r="S104" s="210"/>
    </row>
    <row r="105" customFormat="false" ht="15.75" hidden="false" customHeight="true" outlineLevel="0" collapsed="false">
      <c r="B105" s="212"/>
      <c r="C105" s="213"/>
      <c r="D105" s="214"/>
      <c r="E105" s="214"/>
      <c r="F105" s="214"/>
      <c r="G105" s="213"/>
      <c r="H105" s="213"/>
      <c r="I105" s="213"/>
      <c r="J105" s="213"/>
      <c r="K105" s="214"/>
      <c r="L105" s="214"/>
      <c r="M105" s="213"/>
      <c r="N105" s="213"/>
      <c r="O105" s="213"/>
      <c r="P105" s="213"/>
      <c r="Q105" s="213"/>
      <c r="R105" s="214"/>
      <c r="S105" s="215"/>
    </row>
    <row r="106" customFormat="false" ht="15.75" hidden="false" customHeight="true" outlineLevel="0" collapsed="false"/>
    <row r="107" s="140" customFormat="true" ht="30" hidden="false" customHeight="true" outlineLevel="0" collapsed="false">
      <c r="B107" s="141" t="e">
        <f aca="false" t="array" ref="B107:B107">INDEX($B$6:$B$37,SMALL(IF(COUNTIF($B$38:$B106,$B$6:$B$37)=0,ROW($B$6:$B$37)-ROW($B$6)+1),1))</f>
        <v>#VALUE!</v>
      </c>
      <c r="C107" s="142" t="e">
        <f aca="false">INDEX(калькулятор!$1:$3,1,MATCH(B107,калькулятор!$3:$3,0))</f>
        <v>#VALUE!</v>
      </c>
      <c r="D107" s="143"/>
      <c r="E107" s="143"/>
      <c r="F107" s="144"/>
      <c r="G107" s="144"/>
      <c r="H107" s="144"/>
      <c r="I107" s="145" t="s">
        <v>50</v>
      </c>
      <c r="J107" s="143" t="s">
        <v>51</v>
      </c>
      <c r="K107" s="146" t="n">
        <f aca="false">SUM(K114:K137)</f>
        <v>0</v>
      </c>
      <c r="L107" s="147"/>
      <c r="M107" s="147"/>
      <c r="N107" s="146" t="n">
        <f aca="false">SUM(N114:N137)</f>
        <v>0</v>
      </c>
      <c r="O107" s="147"/>
      <c r="P107" s="147"/>
      <c r="Q107" s="146" t="n">
        <f aca="false">SUM(Q114:Q137)</f>
        <v>0</v>
      </c>
      <c r="R107" s="146"/>
      <c r="S107" s="148"/>
      <c r="U107" s="149"/>
      <c r="V107" s="149"/>
      <c r="X107" s="149"/>
      <c r="Y107" s="149"/>
    </row>
    <row r="108" customFormat="false" ht="15" hidden="false" customHeight="false" outlineLevel="0" collapsed="false">
      <c r="B108" s="150"/>
      <c r="C108" s="129" t="s">
        <v>52</v>
      </c>
      <c r="D108" s="151" t="e">
        <f aca="false">HLOOKUP(B107,калькулятор!$3:$14,5,0)</f>
        <v>#VALUE!</v>
      </c>
      <c r="E108" s="130"/>
      <c r="J108" s="130"/>
      <c r="L108" s="129"/>
      <c r="M108" s="129"/>
      <c r="Q108" s="130"/>
      <c r="S108" s="152"/>
    </row>
    <row r="109" customFormat="false" ht="15" hidden="false" customHeight="false" outlineLevel="0" collapsed="false">
      <c r="B109" s="153"/>
      <c r="D109" s="130"/>
      <c r="E109" s="130"/>
      <c r="J109" s="130"/>
      <c r="L109" s="129"/>
      <c r="M109" s="129"/>
      <c r="Q109" s="130"/>
      <c r="S109" s="152"/>
    </row>
    <row r="110" customFormat="false" ht="15" hidden="false" customHeight="false" outlineLevel="0" collapsed="false">
      <c r="B110" s="154"/>
      <c r="D110" s="130"/>
      <c r="E110" s="130"/>
      <c r="J110" s="130"/>
      <c r="L110" s="129"/>
      <c r="M110" s="129"/>
      <c r="Q110" s="130"/>
      <c r="S110" s="152"/>
    </row>
    <row r="111" customFormat="false" ht="29.25" hidden="false" customHeight="true" outlineLevel="0" collapsed="false">
      <c r="B111" s="153"/>
      <c r="D111" s="130"/>
      <c r="E111" s="155"/>
      <c r="I111" s="156" t="e">
        <f aca="false">IF(OR(C107="КУПК",C107="КУПК (РП/ЗРП)"),"1 выплата (50%)","Выплата")</f>
        <v>#VALUE!</v>
      </c>
      <c r="J111" s="156"/>
      <c r="K111" s="156"/>
      <c r="L111" s="157" t="e">
        <f aca="false">IF(OR(C107="КУПК",C107="КУПК (РП/ЗРП)"),"2 выплата (25%)","Выплата")</f>
        <v>#VALUE!</v>
      </c>
      <c r="M111" s="157"/>
      <c r="N111" s="157"/>
      <c r="O111" s="158" t="e">
        <f aca="false">IF(OR(C107="КУПК",C107="КУПК (РП/ЗРП)"),"3 выплата (25%)","Выплата")</f>
        <v>#VALUE!</v>
      </c>
      <c r="P111" s="158"/>
      <c r="Q111" s="158"/>
      <c r="S111" s="152"/>
      <c r="T111" s="130"/>
      <c r="V111" s="129"/>
      <c r="W111" s="130"/>
      <c r="Y111" s="129"/>
    </row>
    <row r="112" customFormat="false" ht="30" hidden="false" customHeight="true" outlineLevel="0" collapsed="false">
      <c r="B112" s="154"/>
      <c r="C112" s="129" t="s">
        <v>53</v>
      </c>
      <c r="D112" s="159" t="e">
        <f aca="false">HLOOKUP(B107,калькулятор!$3:$5,3,0)</f>
        <v>#VALUE!</v>
      </c>
      <c r="I112" s="160" t="s">
        <v>54</v>
      </c>
      <c r="J112" s="161"/>
      <c r="K112" s="162" t="n">
        <f aca="false">D135</f>
        <v>46428</v>
      </c>
      <c r="L112" s="163" t="s">
        <v>54</v>
      </c>
      <c r="M112" s="163"/>
      <c r="N112" s="163" t="str">
        <f aca="false">D136</f>
        <v/>
      </c>
      <c r="O112" s="163" t="s">
        <v>54</v>
      </c>
      <c r="P112" s="163"/>
      <c r="Q112" s="163" t="str">
        <f aca="false">D137</f>
        <v/>
      </c>
      <c r="S112" s="152"/>
      <c r="T112" s="130"/>
      <c r="V112" s="129"/>
      <c r="W112" s="130"/>
      <c r="Y112" s="129"/>
    </row>
    <row r="113" customFormat="false" ht="67.5" hidden="false" customHeight="true" outlineLevel="0" collapsed="false">
      <c r="B113" s="164" t="s">
        <v>55</v>
      </c>
      <c r="C113" s="165" t="s">
        <v>56</v>
      </c>
      <c r="D113" s="166" t="s">
        <v>57</v>
      </c>
      <c r="E113" s="166" t="s">
        <v>58</v>
      </c>
      <c r="F113" s="167" t="s">
        <v>59</v>
      </c>
      <c r="H113" s="168"/>
      <c r="I113" s="169" t="s">
        <v>60</v>
      </c>
      <c r="J113" s="163" t="s">
        <v>61</v>
      </c>
      <c r="K113" s="170" t="s">
        <v>62</v>
      </c>
      <c r="L113" s="169" t="s">
        <v>60</v>
      </c>
      <c r="M113" s="163" t="s">
        <v>61</v>
      </c>
      <c r="N113" s="171" t="s">
        <v>62</v>
      </c>
      <c r="O113" s="172" t="s">
        <v>60</v>
      </c>
      <c r="P113" s="163" t="s">
        <v>61</v>
      </c>
      <c r="Q113" s="171" t="s">
        <v>62</v>
      </c>
      <c r="S113" s="152"/>
      <c r="T113" s="130"/>
      <c r="V113" s="129"/>
      <c r="W113" s="130"/>
      <c r="Y113" s="129"/>
    </row>
    <row r="114" customFormat="false" ht="15" hidden="false" customHeight="false" outlineLevel="0" collapsed="false">
      <c r="B114" s="173" t="str">
        <f aca="false">IF(AND(калькулятор!D$16&gt;0,калькулятор!D$16&lt;&gt;"Ключевая"),калькулятор!E$16,"")</f>
        <v>Мотивационная веха 1</v>
      </c>
      <c r="C114" s="174" t="str">
        <f aca="false">IFERROR(VLOOKUP(B114,калькулятор!E:OJ,MATCH($B107,калькулятор!$3:$3,0)-5,0),"")</f>
        <v/>
      </c>
      <c r="D114" s="175" t="n">
        <f aca="false">IFERROR(IF(VLOOKUP(B114,калькулятор!E:J,6,0)=0,"",VLOOKUP(B114,калькулятор!E:J,6,0)),"")</f>
        <v>45879</v>
      </c>
      <c r="E114" s="176" t="str">
        <f aca="false">IF(B114="Финальная веха*",0,IF(D114="","",IF(B114="","",IFERROR(C114/67*33,""))))</f>
        <v/>
      </c>
      <c r="F114" s="177"/>
      <c r="H114" s="130"/>
      <c r="I114" s="178"/>
      <c r="J114" s="179" t="n">
        <f aca="false">IFERROR(K112-D114,"")</f>
        <v>549</v>
      </c>
      <c r="K114" s="180" t="str">
        <f aca="false">IFERROR(IF(OR(C107="КУПК",C107="КУПК (РП/ЗРП)"),E114*I114/365*J114*0.5,E114*I114/365*J114),"")</f>
        <v/>
      </c>
      <c r="L114" s="178" t="n">
        <f aca="false">I114</f>
        <v>0</v>
      </c>
      <c r="M114" s="179" t="str">
        <f aca="false">IFERROR(N112-$D114,"")</f>
        <v/>
      </c>
      <c r="N114" s="180" t="str">
        <f aca="false">IFERROR(IF(OR(C107="КУПК",C107="КУПК (РП/ЗРП)"),E114*L114/365*M114*0.25,0),"")</f>
        <v/>
      </c>
      <c r="O114" s="181" t="n">
        <f aca="false">I114</f>
        <v>0</v>
      </c>
      <c r="P114" s="179" t="str">
        <f aca="false">IFERROR(Q112-$D114,"")</f>
        <v/>
      </c>
      <c r="Q114" s="180" t="str">
        <f aca="false">IFERROR(IF(OR(C107="КУПК",C107="КУПК (РП/ЗРП)"),E114*O114/365*P114*0.25,0),"")</f>
        <v/>
      </c>
      <c r="S114" s="152"/>
      <c r="T114" s="130"/>
      <c r="V114" s="129"/>
      <c r="W114" s="130"/>
      <c r="Y114" s="129"/>
    </row>
    <row r="115" customFormat="false" ht="15" hidden="false" customHeight="false" outlineLevel="0" collapsed="false">
      <c r="B115" s="173" t="str">
        <f aca="false">IF(AND(калькулятор!D$17&gt;0,калькулятор!D$17&lt;&gt;"Ключевая"),калькулятор!E$17,"")</f>
        <v>Мотивационная веха 2</v>
      </c>
      <c r="C115" s="174" t="str">
        <f aca="false">IFERROR(VLOOKUP(B115,калькулятор!E:OJ,MATCH($B107,калькулятор!$3:$3,0)-5,0),"")</f>
        <v/>
      </c>
      <c r="D115" s="175" t="n">
        <f aca="false">IFERROR(IF(VLOOKUP(B115,калькулятор!E:J,6,0)=0,"",VLOOKUP(B115,калькулятор!E:J,6,0)),"")</f>
        <v>45971</v>
      </c>
      <c r="E115" s="176" t="str">
        <f aca="false">IF(B115="Финальная веха*",0,IF(D115="","",IF(B115="","",IFERROR(C115/67*33,""))))</f>
        <v/>
      </c>
      <c r="F115" s="177"/>
      <c r="H115" s="130"/>
      <c r="I115" s="178"/>
      <c r="J115" s="179" t="n">
        <f aca="false">IFERROR(K112-D115,"")</f>
        <v>457</v>
      </c>
      <c r="K115" s="180" t="str">
        <f aca="false">IFERROR(IF(OR(C107="КУПК",C107="КУПК (РП/ЗРП)"),E115*I115/365*J115*0.5,E115*I115/365*J115),"")</f>
        <v/>
      </c>
      <c r="L115" s="178" t="n">
        <f aca="false">I115</f>
        <v>0</v>
      </c>
      <c r="M115" s="179" t="str">
        <f aca="false">IFERROR(N112-$D115,"")</f>
        <v/>
      </c>
      <c r="N115" s="180" t="str">
        <f aca="false">IFERROR(IF(OR(C107="КУПК",C107="КУПК (РП/ЗРП)"),E115*L115/365*M115*0.25,0),"")</f>
        <v/>
      </c>
      <c r="O115" s="181" t="n">
        <f aca="false">I115</f>
        <v>0</v>
      </c>
      <c r="P115" s="179" t="str">
        <f aca="false">IFERROR(Q112-$D115,"")</f>
        <v/>
      </c>
      <c r="Q115" s="180" t="str">
        <f aca="false">IFERROR(IF(OR(C107="КУПК",C107="КУПК (РП/ЗРП)"),E115*O115/365*P115*0.25,0),"")</f>
        <v/>
      </c>
      <c r="S115" s="152"/>
      <c r="T115" s="130"/>
      <c r="V115" s="129"/>
      <c r="W115" s="130"/>
      <c r="Y115" s="129"/>
    </row>
    <row r="116" customFormat="false" ht="15" hidden="false" customHeight="false" outlineLevel="0" collapsed="false">
      <c r="B116" s="173" t="str">
        <f aca="false">IF(AND(калькулятор!D$18&gt;0,калькулятор!D$18&lt;&gt;"Ключевая"),калькулятор!E$18,"")</f>
        <v>Мотивационная веха 3</v>
      </c>
      <c r="C116" s="174" t="str">
        <f aca="false">IFERROR(VLOOKUP(B116,калькулятор!E:OJ,MATCH($B107,калькулятор!$3:$3,0)-5,0),"")</f>
        <v/>
      </c>
      <c r="D116" s="175" t="n">
        <f aca="false">IFERROR(IF(VLOOKUP(B116,калькулятор!E:J,6,0)=0,"",VLOOKUP(B116,калькулятор!E:J,6,0)),"")</f>
        <v>46063</v>
      </c>
      <c r="E116" s="176" t="str">
        <f aca="false">IF(B116="Финальная веха*",0,IF(D116="","",IF(B116="","",IFERROR(C116/67*33,""))))</f>
        <v/>
      </c>
      <c r="F116" s="177"/>
      <c r="H116" s="130"/>
      <c r="I116" s="178"/>
      <c r="J116" s="179" t="n">
        <f aca="false">IFERROR(K112-D116,"")</f>
        <v>365</v>
      </c>
      <c r="K116" s="180" t="str">
        <f aca="false">IFERROR(IF(OR(C107="КУПК",C107="КУПК (РП/ЗРП)"),E116*I116/365*J116*0.5,E116*I116/365*J116),"")</f>
        <v/>
      </c>
      <c r="L116" s="178" t="n">
        <f aca="false">I116</f>
        <v>0</v>
      </c>
      <c r="M116" s="179" t="str">
        <f aca="false">IFERROR(N112-$D116,"")</f>
        <v/>
      </c>
      <c r="N116" s="180" t="str">
        <f aca="false">IFERROR(IF(OR(C107="КУПК",C107="КУПК (РП/ЗРП)"),E116*L116/365*M116*0.25,0),"")</f>
        <v/>
      </c>
      <c r="O116" s="181" t="n">
        <f aca="false">I116</f>
        <v>0</v>
      </c>
      <c r="P116" s="179" t="str">
        <f aca="false">IFERROR(Q112-$D116,"")</f>
        <v/>
      </c>
      <c r="Q116" s="180" t="str">
        <f aca="false">IFERROR(IF(OR(C107="КУПК",C107="КУПК (РП/ЗРП)"),E116*O116/365*P116*0.25,0),"")</f>
        <v/>
      </c>
      <c r="S116" s="152"/>
      <c r="T116" s="130"/>
      <c r="V116" s="129"/>
      <c r="W116" s="130"/>
      <c r="Y116" s="129"/>
    </row>
    <row r="117" customFormat="false" ht="15" hidden="false" customHeight="false" outlineLevel="0" collapsed="false">
      <c r="B117" s="173" t="str">
        <f aca="false">IF(AND(калькулятор!D$19&gt;0,калькулятор!D$19&lt;&gt;"Ключевая"),калькулятор!E$19,"")</f>
        <v>Мотивационная веха 4</v>
      </c>
      <c r="C117" s="174" t="str">
        <f aca="false">IFERROR(VLOOKUP(B117,калькулятор!E:OJ,MATCH($B107,калькулятор!$3:$3,0)-5,0),"")</f>
        <v/>
      </c>
      <c r="D117" s="175" t="n">
        <f aca="false">IFERROR(IF(VLOOKUP(B117,калькулятор!E:J,6,0)=0,"",VLOOKUP(B117,калькулятор!E:J,6,0)),"")</f>
        <v>46152</v>
      </c>
      <c r="E117" s="176" t="str">
        <f aca="false">IF(B117="Финальная веха*",0,IF(D117="","",IF(B117="","",IFERROR(C117/67*33,""))))</f>
        <v/>
      </c>
      <c r="F117" s="177"/>
      <c r="H117" s="130"/>
      <c r="I117" s="178"/>
      <c r="J117" s="179" t="n">
        <f aca="false">IFERROR(K112-D117,"")</f>
        <v>276</v>
      </c>
      <c r="K117" s="180" t="str">
        <f aca="false">IFERROR(IF(OR(C107="КУПК",C107="КУПК (РП/ЗРП)"),E117*I117/365*J117*0.5,E117*I117/365*J117),"")</f>
        <v/>
      </c>
      <c r="L117" s="178" t="n">
        <f aca="false">I117</f>
        <v>0</v>
      </c>
      <c r="M117" s="179" t="str">
        <f aca="false">IFERROR(N112-$D117,"")</f>
        <v/>
      </c>
      <c r="N117" s="180" t="str">
        <f aca="false">IFERROR(IF(OR(C107="КУПК",C107="КУПК (РП/ЗРП)"),E117*L117/365*M117*0.25,0),"")</f>
        <v/>
      </c>
      <c r="O117" s="181" t="n">
        <f aca="false">I117</f>
        <v>0</v>
      </c>
      <c r="P117" s="179" t="str">
        <f aca="false">IFERROR(Q112-$D117,"")</f>
        <v/>
      </c>
      <c r="Q117" s="180" t="str">
        <f aca="false">IFERROR(IF(OR(C107="КУПК",C107="КУПК (РП/ЗРП)"),E117*O117/365*P117*0.25,0),"")</f>
        <v/>
      </c>
      <c r="S117" s="152"/>
      <c r="T117" s="130"/>
      <c r="V117" s="129"/>
      <c r="W117" s="130"/>
      <c r="Y117" s="129"/>
    </row>
    <row r="118" customFormat="false" ht="15" hidden="false" customHeight="false" outlineLevel="0" collapsed="false">
      <c r="B118" s="173" t="str">
        <f aca="false">IF(AND(калькулятор!D$20&gt;0,калькулятор!D$20&lt;&gt;"Ключевая"),калькулятор!E$20,"")</f>
        <v>Мотивационная веха 5</v>
      </c>
      <c r="C118" s="174" t="str">
        <f aca="false">IFERROR(VLOOKUP(B118,калькулятор!E:OJ,MATCH($B107,калькулятор!$3:$3,0)-5,0),"")</f>
        <v/>
      </c>
      <c r="D118" s="175" t="n">
        <f aca="false">IFERROR(IF(VLOOKUP(B118,калькулятор!E:J,6,0)=0,"",VLOOKUP(B118,калькулятор!E:J,6,0)),"")</f>
        <v>46244</v>
      </c>
      <c r="E118" s="176" t="str">
        <f aca="false">IF(B118="Финальная веха*",0,IF(D118="","",IF(B118="","",IFERROR(C118/67*33,""))))</f>
        <v/>
      </c>
      <c r="F118" s="182"/>
      <c r="H118" s="130"/>
      <c r="I118" s="178"/>
      <c r="J118" s="179" t="n">
        <f aca="false">IFERROR(K112-D118,"")</f>
        <v>184</v>
      </c>
      <c r="K118" s="180" t="str">
        <f aca="false">IFERROR(IF(OR(C107="КУПК",C107="КУПК (РП/ЗРП)"),E118*I118/365*J118*0.5,E118*I118/365*J118),"")</f>
        <v/>
      </c>
      <c r="L118" s="178" t="n">
        <f aca="false">I118</f>
        <v>0</v>
      </c>
      <c r="M118" s="179" t="str">
        <f aca="false">IFERROR(N112-$D118,"")</f>
        <v/>
      </c>
      <c r="N118" s="180" t="str">
        <f aca="false">IFERROR(IF(OR(C107="КУПК",C107="КУПК (РП/ЗРП)"),E118*L118/365*M118*0.25,0),"")</f>
        <v/>
      </c>
      <c r="O118" s="181" t="n">
        <f aca="false">I118</f>
        <v>0</v>
      </c>
      <c r="P118" s="179" t="str">
        <f aca="false">IFERROR(Q112-$D118,"")</f>
        <v/>
      </c>
      <c r="Q118" s="180" t="str">
        <f aca="false">IFERROR(IF(OR(C107="КУПК",C107="КУПК (РП/ЗРП)"),E118*O118/365*P118*0.25,0),"")</f>
        <v/>
      </c>
      <c r="S118" s="152"/>
      <c r="T118" s="130"/>
      <c r="V118" s="129"/>
      <c r="W118" s="130"/>
      <c r="Y118" s="129"/>
    </row>
    <row r="119" customFormat="false" ht="15" hidden="false" customHeight="false" outlineLevel="0" collapsed="false">
      <c r="B119" s="173" t="str">
        <f aca="false">IF(AND(калькулятор!D$21&gt;0,калькулятор!D$21&lt;&gt;"Ключевая"),калькулятор!E$21,"")</f>
        <v>Мотивационная веха 6</v>
      </c>
      <c r="C119" s="174" t="str">
        <f aca="false">IFERROR(VLOOKUP(B119,калькулятор!E:OJ,MATCH($B107,калькулятор!$3:$3,0)-5,0),"")</f>
        <v/>
      </c>
      <c r="D119" s="175" t="n">
        <f aca="false">IFERROR(IF(VLOOKUP(B119,калькулятор!E:J,6,0)=0,"",VLOOKUP(B119,калькулятор!E:J,6,0)),"")</f>
        <v>46336</v>
      </c>
      <c r="E119" s="176" t="str">
        <f aca="false">IF(B119="Финальная веха*",0,IF(D119="","",IF(B119="","",IFERROR(C119/67*33,""))))</f>
        <v/>
      </c>
      <c r="F119" s="177"/>
      <c r="H119" s="130"/>
      <c r="I119" s="178"/>
      <c r="J119" s="179" t="n">
        <f aca="false">IFERROR(K112-D119,"")</f>
        <v>92</v>
      </c>
      <c r="K119" s="180" t="str">
        <f aca="false">IFERROR(IF(OR(C107="КУПК",C107="КУПК (РП/ЗРП)"),E119*I119/365*J119*0.5,E119*I119/365*J119),"")</f>
        <v/>
      </c>
      <c r="L119" s="178" t="n">
        <f aca="false">I119</f>
        <v>0</v>
      </c>
      <c r="M119" s="179" t="str">
        <f aca="false">IFERROR(N112-$D119,"")</f>
        <v/>
      </c>
      <c r="N119" s="180" t="str">
        <f aca="false">IFERROR(IF(OR(C107="КУПК",C107="КУПК (РП/ЗРП)"),E119*L119/365*M119*0.25,0),"")</f>
        <v/>
      </c>
      <c r="O119" s="181" t="n">
        <f aca="false">I119</f>
        <v>0</v>
      </c>
      <c r="P119" s="179" t="str">
        <f aca="false">IFERROR(Q112-$D119,"")</f>
        <v/>
      </c>
      <c r="Q119" s="180" t="str">
        <f aca="false">IFERROR(IF(OR(C107="КУПК",C107="КУПК (РП/ЗРП)"),E119*O119/365*P119*0.25,0),"")</f>
        <v/>
      </c>
      <c r="S119" s="152"/>
      <c r="T119" s="130"/>
      <c r="V119" s="129"/>
      <c r="W119" s="130"/>
      <c r="Y119" s="129"/>
    </row>
    <row r="120" customFormat="false" ht="15" hidden="false" customHeight="false" outlineLevel="0" collapsed="false">
      <c r="B120" s="173" t="n">
        <f aca="false">IF(AND(калькулятор!D$22&gt;0,калькулятор!D$22&lt;&gt;"Ключевая"),калькулятор!E$22,"")</f>
        <v>0</v>
      </c>
      <c r="C120" s="174" t="str">
        <f aca="false">IFERROR(VLOOKUP(B120,калькулятор!E:OJ,MATCH($B107,калькулятор!$3:$3,0)-5,0),"")</f>
        <v/>
      </c>
      <c r="D120" s="175" t="str">
        <f aca="false">IFERROR(IF(VLOOKUP(B120,калькулятор!E:J,6,0)=0,"",VLOOKUP(B120,калькулятор!E:J,6,0)),"")</f>
        <v/>
      </c>
      <c r="E120" s="176" t="str">
        <f aca="false">IF(B120="Финальная веха*",0,IF(D120="","",IF(B120="","",IFERROR(C120/67*33,""))))</f>
        <v/>
      </c>
      <c r="F120" s="177"/>
      <c r="H120" s="130"/>
      <c r="I120" s="178"/>
      <c r="J120" s="179" t="str">
        <f aca="false">IFERROR(K112-D120,"")</f>
        <v/>
      </c>
      <c r="K120" s="180" t="str">
        <f aca="false">IFERROR(IF(OR(C107="КУПК",C107="КУПК (РП/ЗРП)"),E120*I120/365*J120*0.5,E120*I120/365*J120),"")</f>
        <v/>
      </c>
      <c r="L120" s="178" t="n">
        <f aca="false">I120</f>
        <v>0</v>
      </c>
      <c r="M120" s="179" t="str">
        <f aca="false">IFERROR(N112-$D120,"")</f>
        <v/>
      </c>
      <c r="N120" s="180" t="str">
        <f aca="false">IFERROR(IF(OR(C107="КУПК",C107="КУПК (РП/ЗРП)"),E120*L120/365*M120*0.25,0),"")</f>
        <v/>
      </c>
      <c r="O120" s="181" t="n">
        <f aca="false">I120</f>
        <v>0</v>
      </c>
      <c r="P120" s="179" t="str">
        <f aca="false">IFERROR(Q112-$D120,"")</f>
        <v/>
      </c>
      <c r="Q120" s="180" t="str">
        <f aca="false">IFERROR(IF(OR(C107="КУПК",C107="КУПК (РП/ЗРП)"),E120*O120/365*P120*0.25,0),"")</f>
        <v/>
      </c>
      <c r="S120" s="152"/>
      <c r="T120" s="130"/>
      <c r="V120" s="129"/>
      <c r="W120" s="130"/>
      <c r="Y120" s="129"/>
    </row>
    <row r="121" customFormat="false" ht="15" hidden="false" customHeight="false" outlineLevel="0" collapsed="false">
      <c r="B121" s="173" t="n">
        <f aca="false">IF(AND(калькулятор!D$23&gt;0,калькулятор!D$23&lt;&gt;"Ключевая"),калькулятор!E$23,"")</f>
        <v>0</v>
      </c>
      <c r="C121" s="174" t="str">
        <f aca="false">IFERROR(VLOOKUP(B121,калькулятор!E:OJ,MATCH($B107,калькулятор!$3:$3,0)-5,0),"")</f>
        <v/>
      </c>
      <c r="D121" s="175" t="str">
        <f aca="false">IFERROR(IF(VLOOKUP(B121,калькулятор!E:J,6,0)=0,"",VLOOKUP(B121,калькулятор!E:J,6,0)),"")</f>
        <v/>
      </c>
      <c r="E121" s="176" t="str">
        <f aca="false">IF(B121="Финальная веха*",0,IF(D121="","",IF(B121="","",IFERROR(C121/67*33,""))))</f>
        <v/>
      </c>
      <c r="F121" s="177"/>
      <c r="H121" s="130"/>
      <c r="I121" s="178"/>
      <c r="J121" s="179" t="str">
        <f aca="false">IFERROR(K112-D121,"")</f>
        <v/>
      </c>
      <c r="K121" s="180" t="str">
        <f aca="false">IFERROR(IF(OR(C107="КУПК",C107="КУПК (РП/ЗРП)"),E121*I121/365*J121*0.5,E121*I121/365*J121),"")</f>
        <v/>
      </c>
      <c r="L121" s="178" t="n">
        <f aca="false">I121</f>
        <v>0</v>
      </c>
      <c r="M121" s="179" t="str">
        <f aca="false">IFERROR(N112-$D121,"")</f>
        <v/>
      </c>
      <c r="N121" s="180" t="str">
        <f aca="false">IFERROR(IF(OR(C107="КУПК",C107="КУПК (РП/ЗРП)"),E121*L121/365*M121*0.25,0),"")</f>
        <v/>
      </c>
      <c r="O121" s="181" t="n">
        <f aca="false">I121</f>
        <v>0</v>
      </c>
      <c r="P121" s="179" t="str">
        <f aca="false">IFERROR(Q112-$D121,"")</f>
        <v/>
      </c>
      <c r="Q121" s="180" t="str">
        <f aca="false">IFERROR(IF(OR(C107="КУПК",C107="КУПК (РП/ЗРП)"),E121*O121/365*P121*0.25,0),"")</f>
        <v/>
      </c>
      <c r="S121" s="152"/>
      <c r="T121" s="130"/>
      <c r="V121" s="129"/>
      <c r="W121" s="130"/>
      <c r="Y121" s="129"/>
    </row>
    <row r="122" customFormat="false" ht="15" hidden="false" customHeight="false" outlineLevel="0" collapsed="false">
      <c r="B122" s="173" t="n">
        <f aca="false">IF(AND(калькулятор!D$24&gt;0,калькулятор!D$24&lt;&gt;"Ключевая"),калькулятор!E$24,"")</f>
        <v>0</v>
      </c>
      <c r="C122" s="174" t="str">
        <f aca="false">IFERROR(VLOOKUP(B122,калькулятор!E:OJ,MATCH($B107,калькулятор!$3:$3,0)-5,0),"")</f>
        <v/>
      </c>
      <c r="D122" s="175" t="str">
        <f aca="false">IFERROR(IF(VLOOKUP(B122,калькулятор!E:J,6,0)=0,"",VLOOKUP(B122,калькулятор!E:J,6,0)),"")</f>
        <v/>
      </c>
      <c r="E122" s="176" t="str">
        <f aca="false">IF(B122="Финальная веха*",0,IF(D122="","",IF(B122="","",IFERROR(C122/67*33,""))))</f>
        <v/>
      </c>
      <c r="F122" s="177"/>
      <c r="H122" s="130"/>
      <c r="I122" s="178"/>
      <c r="J122" s="179" t="str">
        <f aca="false">IFERROR(K112-D122,"")</f>
        <v/>
      </c>
      <c r="K122" s="180" t="str">
        <f aca="false">IFERROR(IF(OR(C107="КУПК",C107="КУПК (РП/ЗРП)"),E122*I122/365*J122*0.5,E122*I122/365*J122),"")</f>
        <v/>
      </c>
      <c r="L122" s="178" t="n">
        <f aca="false">I122</f>
        <v>0</v>
      </c>
      <c r="M122" s="179" t="str">
        <f aca="false">IFERROR(N112-$D122,"")</f>
        <v/>
      </c>
      <c r="N122" s="180" t="str">
        <f aca="false">IFERROR(IF(OR(C107="КУПК",C107="КУПК (РП/ЗРП)"),E122*L122/365*M122*0.25,0),"")</f>
        <v/>
      </c>
      <c r="O122" s="181" t="n">
        <f aca="false">I122</f>
        <v>0</v>
      </c>
      <c r="P122" s="179" t="str">
        <f aca="false">IFERROR(Q112-$D122,"")</f>
        <v/>
      </c>
      <c r="Q122" s="180" t="str">
        <f aca="false">IFERROR(IF(OR(C107="КУПК",C107="КУПК (РП/ЗРП)"),E122*O122/365*P122*0.25,0),"")</f>
        <v/>
      </c>
      <c r="S122" s="152"/>
      <c r="T122" s="130"/>
      <c r="V122" s="129"/>
      <c r="W122" s="130"/>
      <c r="Y122" s="129"/>
    </row>
    <row r="123" customFormat="false" ht="15" hidden="false" customHeight="false" outlineLevel="0" collapsed="false">
      <c r="B123" s="173" t="n">
        <f aca="false">IF(AND(калькулятор!D$25&gt;0,калькулятор!D$25&lt;&gt;"Ключевая"),калькулятор!E$25,"")</f>
        <v>0</v>
      </c>
      <c r="C123" s="174" t="str">
        <f aca="false">IFERROR(VLOOKUP(B123,калькулятор!E:OJ,MATCH($B107,калькулятор!$3:$3,0)-5,0),"")</f>
        <v/>
      </c>
      <c r="D123" s="175" t="str">
        <f aca="false">IFERROR(IF(VLOOKUP(B123,калькулятор!E:J,6,0)=0,"",VLOOKUP(B123,калькулятор!E:J,6,0)),"")</f>
        <v/>
      </c>
      <c r="E123" s="176" t="str">
        <f aca="false">IF(B123="Финальная веха*",0,IF(D123="","",IF(B123="","",IFERROR(C123/67*33,""))))</f>
        <v/>
      </c>
      <c r="F123" s="177"/>
      <c r="H123" s="130"/>
      <c r="I123" s="178"/>
      <c r="J123" s="179" t="str">
        <f aca="false">IFERROR(K112-D123,"")</f>
        <v/>
      </c>
      <c r="K123" s="180" t="str">
        <f aca="false">IFERROR(IF(OR(C107="КУПК",C107="КУПК (РП/ЗРП)"),E123*I123/365*J123*0.5,E123*I123/365*J123),"")</f>
        <v/>
      </c>
      <c r="L123" s="178" t="n">
        <f aca="false">I123</f>
        <v>0</v>
      </c>
      <c r="M123" s="179" t="str">
        <f aca="false">IFERROR(N112-$D123,"")</f>
        <v/>
      </c>
      <c r="N123" s="180" t="str">
        <f aca="false">IFERROR(IF(OR(C107="КУПК",C107="КУПК (РП/ЗРП)"),E123*L123/365*M123*0.25,0),"")</f>
        <v/>
      </c>
      <c r="O123" s="181" t="n">
        <f aca="false">I123</f>
        <v>0</v>
      </c>
      <c r="P123" s="179" t="str">
        <f aca="false">IFERROR(Q112-$D123,"")</f>
        <v/>
      </c>
      <c r="Q123" s="180" t="str">
        <f aca="false">IFERROR(IF(OR(C107="КУПК",C107="КУПК (РП/ЗРП)"),E123*O123/365*P123*0.25,0),"")</f>
        <v/>
      </c>
      <c r="S123" s="152"/>
      <c r="T123" s="130"/>
      <c r="V123" s="129"/>
      <c r="W123" s="130"/>
      <c r="Y123" s="129"/>
    </row>
    <row r="124" customFormat="false" ht="15" hidden="false" customHeight="false" outlineLevel="0" collapsed="false">
      <c r="B124" s="173" t="n">
        <f aca="false">IF(AND(калькулятор!D$26&gt;0,калькулятор!D$26&lt;&gt;"Ключевая"),калькулятор!E$26,"")</f>
        <v>0</v>
      </c>
      <c r="C124" s="174" t="str">
        <f aca="false">IFERROR(VLOOKUP(B124,калькулятор!E:OJ,MATCH($B107,калькулятор!$3:$3,0)-5,0),"")</f>
        <v/>
      </c>
      <c r="D124" s="175" t="str">
        <f aca="false">IFERROR(IF(VLOOKUP(B124,калькулятор!E:J,6,0)=0,"",VLOOKUP(B124,калькулятор!E:J,6,0)),"")</f>
        <v/>
      </c>
      <c r="E124" s="176" t="str">
        <f aca="false">IF(B124="Финальная веха*",0,IF(D124="","",IF(B124="","",IFERROR(C124/67*33,""))))</f>
        <v/>
      </c>
      <c r="F124" s="177"/>
      <c r="H124" s="130"/>
      <c r="I124" s="178"/>
      <c r="J124" s="179" t="str">
        <f aca="false">IFERROR(K112-D124,"")</f>
        <v/>
      </c>
      <c r="K124" s="180" t="str">
        <f aca="false">IFERROR(IF(OR(C107="КУПК",C107="КУПК (РП/ЗРП)"),E124*I124/365*J124*0.5,E124*I124/365*J124),"")</f>
        <v/>
      </c>
      <c r="L124" s="178" t="n">
        <f aca="false">I124</f>
        <v>0</v>
      </c>
      <c r="M124" s="179" t="str">
        <f aca="false">IFERROR(N112-$D124,"")</f>
        <v/>
      </c>
      <c r="N124" s="180" t="str">
        <f aca="false">IFERROR(IF(OR(C107="КУПК",C107="КУПК (РП/ЗРП)"),E124*L124/365*M124*0.25,0),"")</f>
        <v/>
      </c>
      <c r="O124" s="181" t="n">
        <f aca="false">I124</f>
        <v>0</v>
      </c>
      <c r="P124" s="179" t="str">
        <f aca="false">IFERROR(Q112-$D124,"")</f>
        <v/>
      </c>
      <c r="Q124" s="180" t="str">
        <f aca="false">IFERROR(IF(OR(C107="КУПК",C107="КУПК (РП/ЗРП)"),E124*O124/365*P124*0.25,0),"")</f>
        <v/>
      </c>
      <c r="S124" s="152"/>
      <c r="T124" s="130"/>
      <c r="V124" s="129"/>
      <c r="W124" s="130"/>
      <c r="Y124" s="129"/>
    </row>
    <row r="125" customFormat="false" ht="15" hidden="false" customHeight="false" outlineLevel="0" collapsed="false">
      <c r="B125" s="173" t="n">
        <f aca="false">IF(AND(калькулятор!D$27&gt;0,калькулятор!D$27&lt;&gt;"Ключевая"),калькулятор!E$27,"")</f>
        <v>0</v>
      </c>
      <c r="C125" s="174" t="str">
        <f aca="false">IFERROR(VLOOKUP(B125,калькулятор!E:OJ,MATCH($B107,калькулятор!$3:$3,0)-5,0),"")</f>
        <v/>
      </c>
      <c r="D125" s="175" t="str">
        <f aca="false">IFERROR(IF(VLOOKUP(B125,калькулятор!E:J,6,0)=0,"",VLOOKUP(B125,калькулятор!E:J,6,0)),"")</f>
        <v/>
      </c>
      <c r="E125" s="176" t="str">
        <f aca="false">IF(B125="Финальная веха*",0,IF(D125="","",IF(B125="","",IFERROR(C125/67*33,""))))</f>
        <v/>
      </c>
      <c r="F125" s="177"/>
      <c r="H125" s="130"/>
      <c r="I125" s="178"/>
      <c r="J125" s="179" t="str">
        <f aca="false">IFERROR(K112-D125,"")</f>
        <v/>
      </c>
      <c r="K125" s="180" t="str">
        <f aca="false">IFERROR(IF(OR(C107="КУПК",C107="КУПК (РП/ЗРП)"),E125*I125/365*J125*0.5,E125*I125/365*J125),"")</f>
        <v/>
      </c>
      <c r="L125" s="178" t="n">
        <f aca="false">I125</f>
        <v>0</v>
      </c>
      <c r="M125" s="179" t="str">
        <f aca="false">IFERROR(N112-$D125,"")</f>
        <v/>
      </c>
      <c r="N125" s="180" t="str">
        <f aca="false">IFERROR(IF(OR(C107="КУПК",C107="КУПК (РП/ЗРП)"),E125*L125/365*M125*0.25,0),"")</f>
        <v/>
      </c>
      <c r="O125" s="181" t="n">
        <f aca="false">I125</f>
        <v>0</v>
      </c>
      <c r="P125" s="179" t="str">
        <f aca="false">IFERROR(Q112-$D125,"")</f>
        <v/>
      </c>
      <c r="Q125" s="180" t="str">
        <f aca="false">IFERROR(IF(OR(C107="КУПК",C107="КУПК (РП/ЗРП)"),E125*O125/365*P125*0.25,0),"")</f>
        <v/>
      </c>
      <c r="S125" s="152"/>
      <c r="T125" s="130"/>
      <c r="V125" s="129"/>
      <c r="W125" s="130"/>
      <c r="Y125" s="129"/>
    </row>
    <row r="126" customFormat="false" ht="15" hidden="false" customHeight="false" outlineLevel="0" collapsed="false">
      <c r="B126" s="173" t="n">
        <f aca="false">IF(AND(калькулятор!D$28&gt;0,калькулятор!D$28&lt;&gt;"Ключевая"),калькулятор!E$28,"")</f>
        <v>0</v>
      </c>
      <c r="C126" s="174" t="str">
        <f aca="false">IFERROR(VLOOKUP(B126,калькулятор!E:OJ,MATCH($B107,калькулятор!$3:$3,0)-5,0),"")</f>
        <v/>
      </c>
      <c r="D126" s="175" t="str">
        <f aca="false">IFERROR(IF(VLOOKUP(B126,калькулятор!E:J,6,0)=0,"",VLOOKUP(B126,калькулятор!E:J,6,0)),"")</f>
        <v/>
      </c>
      <c r="E126" s="176" t="str">
        <f aca="false">IF(B126="Финальная веха*",0,IF(D126="","",IF(B126="","",IFERROR(C126/67*33,""))))</f>
        <v/>
      </c>
      <c r="F126" s="177"/>
      <c r="H126" s="130"/>
      <c r="I126" s="178"/>
      <c r="J126" s="179" t="str">
        <f aca="false">IFERROR(K112-D126,"")</f>
        <v/>
      </c>
      <c r="K126" s="180" t="str">
        <f aca="false">IFERROR(IF(OR(C107="КУПК",C107="КУПК (РП/ЗРП)"),E126*I126/365*J126*0.5,E126*I126/365*J126),"")</f>
        <v/>
      </c>
      <c r="L126" s="178" t="n">
        <f aca="false">I126</f>
        <v>0</v>
      </c>
      <c r="M126" s="179" t="str">
        <f aca="false">IFERROR(N112-$D126,"")</f>
        <v/>
      </c>
      <c r="N126" s="180" t="str">
        <f aca="false">IFERROR(IF(OR(C107="КУПК",C107="КУПК (РП/ЗРП)"),E126*L126/365*M126*0.25,0),"")</f>
        <v/>
      </c>
      <c r="O126" s="181" t="n">
        <f aca="false">I126</f>
        <v>0</v>
      </c>
      <c r="P126" s="179" t="str">
        <f aca="false">IFERROR(Q112-$D126,"")</f>
        <v/>
      </c>
      <c r="Q126" s="180" t="str">
        <f aca="false">IFERROR(IF(OR(C107="КУПК",C107="КУПК (РП/ЗРП)"),E126*O126/365*P126*0.25,0),"")</f>
        <v/>
      </c>
      <c r="S126" s="152"/>
      <c r="T126" s="130"/>
      <c r="V126" s="129"/>
      <c r="W126" s="130"/>
      <c r="Y126" s="129"/>
    </row>
    <row r="127" customFormat="false" ht="15" hidden="false" customHeight="false" outlineLevel="0" collapsed="false">
      <c r="B127" s="173" t="n">
        <f aca="false">IF(AND(калькулятор!D$29&gt;0,калькулятор!D$29&lt;&gt;"Ключевая"),калькулятор!E$29,"")</f>
        <v>0</v>
      </c>
      <c r="C127" s="174" t="str">
        <f aca="false">IFERROR(VLOOKUP(B127,калькулятор!E:OJ,MATCH($B107,калькулятор!$3:$3,0)-5,0),"")</f>
        <v/>
      </c>
      <c r="D127" s="175" t="str">
        <f aca="false">IFERROR(IF(VLOOKUP(B127,калькулятор!E:J,6,0)=0,"",VLOOKUP(B127,калькулятор!E:J,6,0)),"")</f>
        <v/>
      </c>
      <c r="E127" s="176" t="str">
        <f aca="false">IF(B127="Финальная веха*",0,IF(D127="","",IF(B127="","",IFERROR(C127/67*33,""))))</f>
        <v/>
      </c>
      <c r="F127" s="177"/>
      <c r="H127" s="130"/>
      <c r="I127" s="178"/>
      <c r="J127" s="179" t="str">
        <f aca="false">IFERROR(K112-D127,"")</f>
        <v/>
      </c>
      <c r="K127" s="180" t="str">
        <f aca="false">IFERROR(IF(OR(C107="КУПК",C107="КУПК (РП/ЗРП)"),E127*I127/365*J127*0.5,E127*I127/365*J127),"")</f>
        <v/>
      </c>
      <c r="L127" s="178" t="n">
        <f aca="false">I127</f>
        <v>0</v>
      </c>
      <c r="M127" s="179" t="str">
        <f aca="false">IFERROR(N112-$D127,"")</f>
        <v/>
      </c>
      <c r="N127" s="180" t="str">
        <f aca="false">IFERROR(IF(OR(C107="КУПК",C107="КУПК (РП/ЗРП)"),E127*L127/365*M127*0.25,0),"")</f>
        <v/>
      </c>
      <c r="O127" s="181" t="n">
        <f aca="false">I127</f>
        <v>0</v>
      </c>
      <c r="P127" s="179" t="str">
        <f aca="false">IFERROR(Q112-$D127,"")</f>
        <v/>
      </c>
      <c r="Q127" s="180" t="str">
        <f aca="false">IFERROR(IF(OR(C107="КУПК",C107="КУПК (РП/ЗРП)"),E127*O127/365*P127*0.25,0),"")</f>
        <v/>
      </c>
      <c r="S127" s="152"/>
      <c r="T127" s="130"/>
      <c r="V127" s="129"/>
      <c r="W127" s="130"/>
      <c r="Y127" s="129"/>
    </row>
    <row r="128" customFormat="false" ht="15" hidden="false" customHeight="false" outlineLevel="0" collapsed="false">
      <c r="B128" s="173" t="n">
        <f aca="false">IF(AND(калькулятор!D$30&gt;0,калькулятор!D$30&lt;&gt;"Ключевая"),калькулятор!E$30,"")</f>
        <v>0</v>
      </c>
      <c r="C128" s="174" t="str">
        <f aca="false">IFERROR(VLOOKUP(B128,калькулятор!E:OJ,MATCH($B107,калькулятор!$3:$3,0)-5,0),"")</f>
        <v/>
      </c>
      <c r="D128" s="175" t="str">
        <f aca="false">IFERROR(IF(VLOOKUP(B128,калькулятор!E:J,6,0)=0,"",VLOOKUP(B128,калькулятор!E:J,6,0)),"")</f>
        <v/>
      </c>
      <c r="E128" s="176" t="str">
        <f aca="false">IF(B128="Финальная веха*",0,IF(D128="","",IF(B128="","",IFERROR(C128/67*33,""))))</f>
        <v/>
      </c>
      <c r="F128" s="177"/>
      <c r="H128" s="130"/>
      <c r="I128" s="178"/>
      <c r="J128" s="179" t="str">
        <f aca="false">IFERROR(K112-D128,"")</f>
        <v/>
      </c>
      <c r="K128" s="180" t="str">
        <f aca="false">IFERROR(IF(OR(C107="КУПК",C107="КУПК (РП/ЗРП)"),E128*I128/365*J128*0.5,E128*I128/365*J128),"")</f>
        <v/>
      </c>
      <c r="L128" s="178" t="n">
        <f aca="false">I128</f>
        <v>0</v>
      </c>
      <c r="M128" s="179" t="str">
        <f aca="false">IFERROR(N112-$D128,"")</f>
        <v/>
      </c>
      <c r="N128" s="180" t="str">
        <f aca="false">IFERROR(IF(OR(C107="КУПК",C107="КУПК (РП/ЗРП)"),E128*L128/365*M128*0.25,0),"")</f>
        <v/>
      </c>
      <c r="O128" s="181" t="n">
        <f aca="false">I128</f>
        <v>0</v>
      </c>
      <c r="P128" s="179" t="str">
        <f aca="false">IFERROR(Q112-$D128,"")</f>
        <v/>
      </c>
      <c r="Q128" s="180" t="str">
        <f aca="false">IFERROR(IF(OR(C107="КУПК",C107="КУПК (РП/ЗРП)"),E128*O128/365*P128*0.25,0),"")</f>
        <v/>
      </c>
      <c r="S128" s="152"/>
      <c r="T128" s="130"/>
      <c r="V128" s="129"/>
      <c r="W128" s="130"/>
      <c r="Y128" s="129"/>
    </row>
    <row r="129" customFormat="false" ht="15" hidden="false" customHeight="false" outlineLevel="0" collapsed="false">
      <c r="B129" s="173" t="n">
        <f aca="false">IF(AND(калькулятор!D$31&gt;0,калькулятор!D$31&lt;&gt;"Ключевая"),калькулятор!E$31,"")</f>
        <v>0</v>
      </c>
      <c r="C129" s="174" t="str">
        <f aca="false">IFERROR(VLOOKUP(B129,калькулятор!E:OJ,MATCH($B107,калькулятор!$3:$3,0)-5,0),"")</f>
        <v/>
      </c>
      <c r="D129" s="175" t="str">
        <f aca="false">IFERROR(IF(VLOOKUP(B129,калькулятор!E:J,6,0)=0,"",VLOOKUP(B129,калькулятор!E:J,6,0)),"")</f>
        <v/>
      </c>
      <c r="E129" s="176" t="str">
        <f aca="false">IF(B129="Финальная веха*",0,IF(D129="","",IF(B129="","",IFERROR(C129/67*33,""))))</f>
        <v/>
      </c>
      <c r="F129" s="177"/>
      <c r="H129" s="130"/>
      <c r="I129" s="178"/>
      <c r="J129" s="179" t="str">
        <f aca="false">IFERROR(K112-D129,"")</f>
        <v/>
      </c>
      <c r="K129" s="180" t="str">
        <f aca="false">IFERROR(IF(OR(C107="КУПК",C107="КУПК (РП/ЗРП)"),E129*I129/365*J129*0.5,E129*I129/365*J129),"")</f>
        <v/>
      </c>
      <c r="L129" s="178" t="n">
        <f aca="false">I129</f>
        <v>0</v>
      </c>
      <c r="M129" s="179" t="str">
        <f aca="false">IFERROR(N112-$D129,"")</f>
        <v/>
      </c>
      <c r="N129" s="180" t="str">
        <f aca="false">IFERROR(IF(OR(C107="КУПК",C107="КУПК (РП/ЗРП)"),E129*L129/365*M129*0.25,0),"")</f>
        <v/>
      </c>
      <c r="O129" s="181" t="n">
        <f aca="false">I129</f>
        <v>0</v>
      </c>
      <c r="P129" s="179" t="str">
        <f aca="false">IFERROR(Q112-$D129,"")</f>
        <v/>
      </c>
      <c r="Q129" s="180" t="str">
        <f aca="false">IFERROR(IF(OR(C107="КУПК",C107="КУПК (РП/ЗРП)"),E129*O129/365*P129*0.25,0),"")</f>
        <v/>
      </c>
      <c r="S129" s="152"/>
      <c r="T129" s="130"/>
      <c r="V129" s="129"/>
      <c r="W129" s="130"/>
      <c r="Y129" s="129"/>
    </row>
    <row r="130" customFormat="false" ht="15" hidden="false" customHeight="false" outlineLevel="0" collapsed="false">
      <c r="B130" s="173" t="n">
        <f aca="false">IF(AND(калькулятор!D$32&gt;0,калькулятор!D$32&lt;&gt;"Ключевая"),калькулятор!E$32,"")</f>
        <v>0</v>
      </c>
      <c r="C130" s="174" t="str">
        <f aca="false">IFERROR(VLOOKUP(B130,калькулятор!E:OJ,MATCH($B107,калькулятор!$3:$3,0)-5,0),"")</f>
        <v/>
      </c>
      <c r="D130" s="175" t="str">
        <f aca="false">IFERROR(IF(VLOOKUP(B130,калькулятор!E:J,6,0)=0,"",VLOOKUP(B130,калькулятор!E:J,6,0)),"")</f>
        <v/>
      </c>
      <c r="E130" s="176" t="str">
        <f aca="false">IF(B130="Финальная веха*",0,IF(D130="","",IF(B130="","",IFERROR(C130/67*33,""))))</f>
        <v/>
      </c>
      <c r="F130" s="177"/>
      <c r="H130" s="130"/>
      <c r="I130" s="178"/>
      <c r="J130" s="179" t="str">
        <f aca="false">IFERROR(K112-D130,"")</f>
        <v/>
      </c>
      <c r="K130" s="180" t="str">
        <f aca="false">IFERROR(IF(OR(C107="КУПК",C107="КУПК (РП/ЗРП)"),E130*I130/365*J130*0.5,E130*I130/365*J130),"")</f>
        <v/>
      </c>
      <c r="L130" s="178" t="n">
        <f aca="false">I130</f>
        <v>0</v>
      </c>
      <c r="M130" s="179" t="str">
        <f aca="false">IFERROR(N112-$D130,"")</f>
        <v/>
      </c>
      <c r="N130" s="180" t="str">
        <f aca="false">IFERROR(IF(OR(C107="КУПК",C107="КУПК (РП/ЗРП)"),E130*L130/365*M130*0.25,0),"")</f>
        <v/>
      </c>
      <c r="O130" s="181" t="n">
        <f aca="false">I130</f>
        <v>0</v>
      </c>
      <c r="P130" s="179" t="str">
        <f aca="false">IFERROR(Q112-$D130,"")</f>
        <v/>
      </c>
      <c r="Q130" s="180" t="str">
        <f aca="false">IFERROR(IF(OR(C107="КУПК",C107="КУПК (РП/ЗРП)"),E130*O130/365*P130*0.25,0),"")</f>
        <v/>
      </c>
      <c r="S130" s="152"/>
      <c r="T130" s="130"/>
      <c r="V130" s="129"/>
      <c r="W130" s="130"/>
      <c r="Y130" s="129"/>
    </row>
    <row r="131" customFormat="false" ht="15" hidden="false" customHeight="false" outlineLevel="0" collapsed="false">
      <c r="B131" s="173" t="n">
        <f aca="false">IF(AND(калькулятор!D$33&gt;0,калькулятор!D$33&lt;&gt;"Ключевая"),калькулятор!E$33,"")</f>
        <v>0</v>
      </c>
      <c r="C131" s="174" t="str">
        <f aca="false">IFERROR(VLOOKUP(B131,калькулятор!E:OJ,MATCH($B107,калькулятор!$3:$3,0)-5,0),"")</f>
        <v/>
      </c>
      <c r="D131" s="175" t="str">
        <f aca="false">IFERROR(IF(VLOOKUP(B131,калькулятор!E:J,6,0)=0,"",VLOOKUP(B131,калькулятор!E:J,6,0)),"")</f>
        <v/>
      </c>
      <c r="E131" s="176" t="str">
        <f aca="false">IF(B131="Финальная веха*",0,IF(D131="","",IF(B131="","",IFERROR(C131/67*33,""))))</f>
        <v/>
      </c>
      <c r="F131" s="177"/>
      <c r="I131" s="178"/>
      <c r="J131" s="179" t="str">
        <f aca="false">IFERROR(K112-D131,"")</f>
        <v/>
      </c>
      <c r="K131" s="180" t="str">
        <f aca="false">IFERROR(IF(OR(C107="КУПК",C107="КУПК (РП/ЗРП)"),E131*I131/365*J131*0.5,E131*I131/365*J131),"")</f>
        <v/>
      </c>
      <c r="L131" s="178" t="n">
        <f aca="false">I131</f>
        <v>0</v>
      </c>
      <c r="M131" s="179" t="str">
        <f aca="false">IFERROR(N112-$D131,"")</f>
        <v/>
      </c>
      <c r="N131" s="180" t="str">
        <f aca="false">IFERROR(IF(OR(C107="КУПК",C107="КУПК (РП/ЗРП)"),E131*L131/365*M131*0.25,0),"")</f>
        <v/>
      </c>
      <c r="O131" s="181" t="n">
        <f aca="false">I131</f>
        <v>0</v>
      </c>
      <c r="P131" s="179" t="str">
        <f aca="false">IFERROR(Q112-$D131,"")</f>
        <v/>
      </c>
      <c r="Q131" s="180" t="str">
        <f aca="false">IFERROR(IF(OR(C107="КУПК",C107="КУПК (РП/ЗРП)"),E131*O131/365*P131*0.25,0),"")</f>
        <v/>
      </c>
      <c r="S131" s="152"/>
      <c r="T131" s="130"/>
      <c r="V131" s="129"/>
      <c r="W131" s="130"/>
      <c r="Y131" s="129"/>
    </row>
    <row r="132" customFormat="false" ht="15" hidden="false" customHeight="false" outlineLevel="0" collapsed="false">
      <c r="B132" s="173" t="n">
        <f aca="false">IF(AND(калькулятор!D$34&gt;0,калькулятор!D$34&lt;&gt;"Ключевая"),калькулятор!E$34,"")</f>
        <v>0</v>
      </c>
      <c r="C132" s="174" t="str">
        <f aca="false">IFERROR(VLOOKUP(B132,калькулятор!E:OJ,MATCH($B107,калькулятор!$3:$3,0)-5,0),"")</f>
        <v/>
      </c>
      <c r="D132" s="175" t="str">
        <f aca="false">IFERROR(IF(VLOOKUP(B132,калькулятор!E:J,6,0)=0,"",VLOOKUP(B132,калькулятор!E:J,6,0)),"")</f>
        <v/>
      </c>
      <c r="E132" s="176" t="str">
        <f aca="false">IF(B132="Финальная веха*",0,IF(D132="","",IF(B132="","",IFERROR(C132/67*33,""))))</f>
        <v/>
      </c>
      <c r="F132" s="177"/>
      <c r="I132" s="178"/>
      <c r="J132" s="179" t="str">
        <f aca="false">IFERROR(K112-D132,"")</f>
        <v/>
      </c>
      <c r="K132" s="180" t="str">
        <f aca="false">IFERROR(IF(OR(C107="КУПК",C107="КУПК (РП/ЗРП)"),E132*I132/365*J132*0.5,E132*I132/365*J132),"")</f>
        <v/>
      </c>
      <c r="L132" s="178" t="n">
        <f aca="false">I132</f>
        <v>0</v>
      </c>
      <c r="M132" s="179" t="str">
        <f aca="false">IFERROR(N112-$D132,"")</f>
        <v/>
      </c>
      <c r="N132" s="180" t="str">
        <f aca="false">IFERROR(IF(OR(C107="КУПК",C107="КУПК (РП/ЗРП)"),E132*L132/365*M132*0.25,0),"")</f>
        <v/>
      </c>
      <c r="O132" s="181" t="n">
        <f aca="false">I132</f>
        <v>0</v>
      </c>
      <c r="P132" s="179" t="str">
        <f aca="false">IFERROR(Q112-$D132,"")</f>
        <v/>
      </c>
      <c r="Q132" s="180" t="str">
        <f aca="false">IFERROR(IF(OR(C107="КУПК",C107="КУПК (РП/ЗРП)"),E132*O132/365*P132*0.25,0),"")</f>
        <v/>
      </c>
      <c r="S132" s="152"/>
      <c r="T132" s="130"/>
      <c r="V132" s="129"/>
      <c r="W132" s="130"/>
      <c r="Y132" s="129"/>
    </row>
    <row r="133" customFormat="false" ht="15" hidden="false" customHeight="false" outlineLevel="0" collapsed="false">
      <c r="B133" s="173" t="n">
        <f aca="false">IF(AND(калькулятор!D$35&gt;0,калькулятор!D$35&lt;&gt;"Ключевая"),калькулятор!E$35,"")</f>
        <v>0</v>
      </c>
      <c r="C133" s="174" t="str">
        <f aca="false">IFERROR(VLOOKUP(B133,калькулятор!E:OJ,MATCH($B107,калькулятор!$3:$3,0)-5,0),"")</f>
        <v/>
      </c>
      <c r="D133" s="175" t="str">
        <f aca="false">IFERROR(IF(VLOOKUP(B133,калькулятор!E:J,6,0)=0,"",VLOOKUP(B133,калькулятор!E:J,6,0)),"")</f>
        <v/>
      </c>
      <c r="E133" s="176" t="str">
        <f aca="false">IF(B133="Финальная веха*",0,IF(D133="","",IF(B133="","",IFERROR(C133/67*33,""))))</f>
        <v/>
      </c>
      <c r="F133" s="177"/>
      <c r="I133" s="178"/>
      <c r="J133" s="179" t="str">
        <f aca="false">IFERROR(K112-D133,"")</f>
        <v/>
      </c>
      <c r="K133" s="180" t="str">
        <f aca="false">IFERROR(IF(OR(C107="КУПК",C107="КУПК (РП/ЗРП)"),E133*I133/365*J133*0.5,E133*I133/365*J133),"")</f>
        <v/>
      </c>
      <c r="L133" s="178" t="n">
        <f aca="false">I133</f>
        <v>0</v>
      </c>
      <c r="M133" s="179" t="str">
        <f aca="false">IFERROR(N112-$D133,"")</f>
        <v/>
      </c>
      <c r="N133" s="180" t="str">
        <f aca="false">IFERROR(IF(OR(C107="КУПК",C107="КУПК (РП/ЗРП)"),E133*L133/365*M133*0.25,0),"")</f>
        <v/>
      </c>
      <c r="O133" s="181" t="n">
        <f aca="false">I133</f>
        <v>0</v>
      </c>
      <c r="P133" s="179" t="str">
        <f aca="false">IFERROR(Q112-$D133,"")</f>
        <v/>
      </c>
      <c r="Q133" s="180" t="str">
        <f aca="false">IFERROR(IF(OR(C107="КУПК",C107="КУПК (РП/ЗРП)"),E133*O133/365*P133*0.25,0),"")</f>
        <v/>
      </c>
      <c r="S133" s="152"/>
      <c r="T133" s="130"/>
      <c r="V133" s="129"/>
      <c r="W133" s="130"/>
      <c r="Y133" s="129"/>
    </row>
    <row r="134" customFormat="false" ht="15.75" hidden="false" customHeight="true" outlineLevel="0" collapsed="false">
      <c r="B134" s="183" t="str">
        <f aca="false" t="array" ref="B134:B134">INDEX(калькулятор!$E$16:$E$305,MATCH(TRUE(),COUNTIF('проценты на отложенную часть'!B114:B133,калькулятор!$E$16:$E$305)=0,0))</f>
        <v>Ключевая веха этапа</v>
      </c>
      <c r="C134" s="184" t="str">
        <f aca="false">IFERROR(VLOOKUP(B134,калькулятор!E:OJ,MATCH(B107,калькулятор!$3:$3,0)-5,0),"")</f>
        <v/>
      </c>
      <c r="D134" s="185"/>
      <c r="E134" s="186"/>
      <c r="F134" s="187"/>
      <c r="I134" s="188"/>
      <c r="J134" s="189"/>
      <c r="K134" s="190"/>
      <c r="L134" s="188"/>
      <c r="M134" s="189"/>
      <c r="N134" s="190"/>
      <c r="O134" s="191"/>
      <c r="P134" s="192"/>
      <c r="Q134" s="193"/>
      <c r="S134" s="152"/>
    </row>
    <row r="135" customFormat="false" ht="15" hidden="false" customHeight="false" outlineLevel="0" collapsed="false">
      <c r="B135" s="194" t="str">
        <f aca="false">"Финальная веха*"</f>
        <v>Финальная веха*</v>
      </c>
      <c r="C135" s="195" t="e">
        <f aca="false">IF(OR(C107="КУПК",C107="КУПК (РП/ЗРП)"),C134*50%,C134)</f>
        <v>#VALUE!</v>
      </c>
      <c r="D135" s="196" t="n">
        <f aca="false">IFERROR(IF(VLOOKUP(B135,калькулятор!E:J,6,0)=0,"",VLOOKUP(B135,калькулятор!E:J,6,0)),"")</f>
        <v>46428</v>
      </c>
      <c r="E135" s="197" t="n">
        <f aca="false">IF(B135="Финальная веха*",0,IF(D135="","",IF(B135="","",IFERROR(C135/67*33,""))))</f>
        <v>0</v>
      </c>
      <c r="F135" s="198"/>
      <c r="I135" s="178"/>
      <c r="J135" s="179" t="n">
        <f aca="false">IFERROR(K112-D135,"")</f>
        <v>0</v>
      </c>
      <c r="K135" s="180" t="str">
        <f aca="false">IFERROR(IF(OR(C107="КУПК",C107="КУПК (РП/ЗРП)"),E135*I135/365*J135*0.5,E135*I135/365*J135),"")</f>
        <v/>
      </c>
      <c r="L135" s="189"/>
      <c r="M135" s="189"/>
      <c r="N135" s="190"/>
      <c r="O135" s="191"/>
      <c r="P135" s="199"/>
      <c r="Q135" s="200"/>
      <c r="S135" s="152"/>
    </row>
    <row r="136" customFormat="false" ht="15" hidden="false" customHeight="false" outlineLevel="0" collapsed="false">
      <c r="B136" s="201" t="e">
        <f aca="false">IF(OR(C107="КУПК",C107="КУПК (РП/ЗРП)"),"Финальная веха (25% ПБ)*","")</f>
        <v>#VALUE!</v>
      </c>
      <c r="C136" s="202" t="e">
        <f aca="false">IF(OR(C107="КУПК",C107="КУПК (РП/ЗРП)"),C134*25%,"")</f>
        <v>#VALUE!</v>
      </c>
      <c r="D136" s="203" t="str">
        <f aca="false">IFERROR(IF(VLOOKUP(B136,калькулятор!E:J,6,0)=0,"",VLOOKUP(B136,калькулятор!E:J,6,0)),"")</f>
        <v/>
      </c>
      <c r="E136" s="176" t="e">
        <f aca="false">C136</f>
        <v>#VALUE!</v>
      </c>
      <c r="F136" s="204"/>
      <c r="I136" s="188"/>
      <c r="J136" s="189"/>
      <c r="K136" s="190"/>
      <c r="L136" s="178"/>
      <c r="M136" s="179" t="e">
        <f aca="false">IF(OR(C107="КУПК",C107="КУПК (РП/ЗРП)"),IF(D135="","",D136-D135),"")</f>
        <v>#VALUE!</v>
      </c>
      <c r="N136" s="180" t="str">
        <f aca="false">IFERROR(IF(D136="","",IF(OR(C107="КУПК",C107="КУПК (РП/ЗРП)"),E136*L136/365*M136,0)),"")</f>
        <v/>
      </c>
      <c r="O136" s="191"/>
      <c r="P136" s="199"/>
      <c r="Q136" s="200"/>
      <c r="S136" s="152"/>
    </row>
    <row r="137" customFormat="false" ht="15.75" hidden="false" customHeight="true" outlineLevel="0" collapsed="false">
      <c r="B137" s="205" t="e">
        <f aca="false">IF(OR(C107="КУПК",C107="КУПК (РП/ЗРП)"),"Финальная веха (25% ПБ) 2 часть*","")</f>
        <v>#VALUE!</v>
      </c>
      <c r="C137" s="206" t="e">
        <f aca="false">IF(OR(C107="КУПК",C107="КУПК (РП/ЗРП)"),C134*25%,"")</f>
        <v>#VALUE!</v>
      </c>
      <c r="D137" s="207" t="str">
        <f aca="false">IFERROR(IF(VLOOKUP(B137,калькулятор!E:J,6,0)=0,"",VLOOKUP(B137,калькулятор!E:J,6,0)),"")</f>
        <v/>
      </c>
      <c r="E137" s="208" t="e">
        <f aca="false">C137</f>
        <v>#VALUE!</v>
      </c>
      <c r="F137" s="209"/>
      <c r="I137" s="188"/>
      <c r="J137" s="189"/>
      <c r="K137" s="190"/>
      <c r="L137" s="188"/>
      <c r="M137" s="189"/>
      <c r="N137" s="190"/>
      <c r="O137" s="181"/>
      <c r="P137" s="179" t="e">
        <f aca="false">IF(OR(C107="КУПК",C107="КУПК (РП/ЗРП)"),IF(D135="","",D137-D135),"")</f>
        <v>#VALUE!</v>
      </c>
      <c r="Q137" s="180" t="str">
        <f aca="false">IFERROR(IF(D137="","",IF(OR(C107="КУПК",C107="КУПК (РП/ЗРП)"),E137*O137/365*P137,0)),"")</f>
        <v/>
      </c>
      <c r="S137" s="210"/>
    </row>
    <row r="138" customFormat="false" ht="15" hidden="false" customHeight="false" outlineLevel="0" collapsed="false">
      <c r="B138" s="150"/>
      <c r="C138" s="211"/>
      <c r="D138" s="130"/>
      <c r="E138" s="130"/>
      <c r="F138" s="130"/>
      <c r="M138" s="129"/>
      <c r="S138" s="210"/>
    </row>
    <row r="139" customFormat="false" ht="15.75" hidden="false" customHeight="true" outlineLevel="0" collapsed="false">
      <c r="B139" s="212"/>
      <c r="C139" s="213"/>
      <c r="D139" s="214"/>
      <c r="E139" s="214"/>
      <c r="F139" s="214"/>
      <c r="G139" s="213"/>
      <c r="H139" s="213"/>
      <c r="I139" s="213"/>
      <c r="J139" s="213"/>
      <c r="K139" s="214"/>
      <c r="L139" s="214"/>
      <c r="M139" s="213"/>
      <c r="N139" s="213"/>
      <c r="O139" s="213"/>
      <c r="P139" s="213"/>
      <c r="Q139" s="213"/>
      <c r="R139" s="214"/>
      <c r="S139" s="215"/>
    </row>
  </sheetData>
  <mergeCells count="9">
    <mergeCell ref="I43:K43"/>
    <mergeCell ref="L43:N43"/>
    <mergeCell ref="O43:Q43"/>
    <mergeCell ref="I77:K77"/>
    <mergeCell ref="L77:N77"/>
    <mergeCell ref="O77:Q77"/>
    <mergeCell ref="I111:K111"/>
    <mergeCell ref="L111:N111"/>
    <mergeCell ref="O111:Q111"/>
  </mergeCells>
  <conditionalFormatting sqref="I136:I137">
    <cfRule type="expression" priority="2" aboveAverage="0" equalAverage="0" bottom="0" percent="0" rank="0" text="" dxfId="4">
      <formula>$I$43="Выплата"</formula>
    </cfRule>
  </conditionalFormatting>
  <conditionalFormatting sqref="L137">
    <cfRule type="expression" priority="3" aboveAverage="0" equalAverage="0" bottom="0" percent="0" rank="0" text="" dxfId="4">
      <formula>$I$43="Выплата"</formula>
    </cfRule>
  </conditionalFormatting>
  <conditionalFormatting sqref="C138">
    <cfRule type="containsText" priority="4" operator="containsText" aboveAverage="0" equalAverage="0" bottom="0" percent="0" rank="0" text="Ложь" dxfId="5">
      <formula>NOT(ISERROR(SEARCH("Ложь",C138)))</formula>
    </cfRule>
  </conditionalFormatting>
  <conditionalFormatting sqref="I134">
    <cfRule type="expression" priority="5" aboveAverage="0" equalAverage="0" bottom="0" percent="0" rank="0" text="" dxfId="4">
      <formula>$I$43="Выплата"</formula>
    </cfRule>
  </conditionalFormatting>
  <conditionalFormatting sqref="L134">
    <cfRule type="expression" priority="6" aboveAverage="0" equalAverage="0" bottom="0" percent="0" rank="0" text="" dxfId="4">
      <formula>$I$43="Выплата"</formula>
    </cfRule>
  </conditionalFormatting>
  <conditionalFormatting sqref="I114:I133">
    <cfRule type="expression" priority="7" aboveAverage="0" equalAverage="0" bottom="0" percent="0" rank="0" text="" dxfId="4">
      <formula>$I$43="Выплата"</formula>
    </cfRule>
  </conditionalFormatting>
  <conditionalFormatting sqref="L112:Q112">
    <cfRule type="expression" priority="8" aboveAverage="0" equalAverage="0" bottom="0" percent="0" rank="0" text="" dxfId="4">
      <formula>$I$43="Выплата"</formula>
    </cfRule>
  </conditionalFormatting>
  <conditionalFormatting sqref="L111:Q111">
    <cfRule type="expression" priority="9" aboveAverage="0" equalAverage="0" bottom="0" percent="0" rank="0" text="" dxfId="4">
      <formula>$I$43="Выплата"</formula>
    </cfRule>
  </conditionalFormatting>
  <conditionalFormatting sqref="I102:I103">
    <cfRule type="expression" priority="10" aboveAverage="0" equalAverage="0" bottom="0" percent="0" rank="0" text="" dxfId="4">
      <formula>$I$43="Выплата"</formula>
    </cfRule>
  </conditionalFormatting>
  <conditionalFormatting sqref="L103">
    <cfRule type="expression" priority="11" aboveAverage="0" equalAverage="0" bottom="0" percent="0" rank="0" text="" dxfId="4">
      <formula>$I$43="Выплата"</formula>
    </cfRule>
  </conditionalFormatting>
  <conditionalFormatting sqref="C104">
    <cfRule type="containsText" priority="12" operator="containsText" aboveAverage="0" equalAverage="0" bottom="0" percent="0" rank="0" text="Ложь" dxfId="5">
      <formula>NOT(ISERROR(SEARCH("Ложь",C104)))</formula>
    </cfRule>
  </conditionalFormatting>
  <conditionalFormatting sqref="I100">
    <cfRule type="expression" priority="13" aboveAverage="0" equalAverage="0" bottom="0" percent="0" rank="0" text="" dxfId="4">
      <formula>$I$43="Выплата"</formula>
    </cfRule>
  </conditionalFormatting>
  <conditionalFormatting sqref="L100">
    <cfRule type="expression" priority="14" aboveAverage="0" equalAverage="0" bottom="0" percent="0" rank="0" text="" dxfId="4">
      <formula>$I$43="Выплата"</formula>
    </cfRule>
  </conditionalFormatting>
  <conditionalFormatting sqref="I80:I99">
    <cfRule type="expression" priority="15" aboveAverage="0" equalAverage="0" bottom="0" percent="0" rank="0" text="" dxfId="4">
      <formula>$I$43="Выплата"</formula>
    </cfRule>
  </conditionalFormatting>
  <conditionalFormatting sqref="L78:Q78">
    <cfRule type="expression" priority="16" aboveAverage="0" equalAverage="0" bottom="0" percent="0" rank="0" text="" dxfId="4">
      <formula>$I$43="Выплата"</formula>
    </cfRule>
  </conditionalFormatting>
  <conditionalFormatting sqref="L77:Q77">
    <cfRule type="expression" priority="17" aboveAverage="0" equalAverage="0" bottom="0" percent="0" rank="0" text="" dxfId="4">
      <formula>$I$43="Выплата"</formula>
    </cfRule>
  </conditionalFormatting>
  <conditionalFormatting sqref="I68:I69">
    <cfRule type="expression" priority="18" aboveAverage="0" equalAverage="0" bottom="0" percent="0" rank="0" text="" dxfId="4">
      <formula>$I$43="Выплата"</formula>
    </cfRule>
  </conditionalFormatting>
  <conditionalFormatting sqref="L69">
    <cfRule type="expression" priority="19" aboveAverage="0" equalAverage="0" bottom="0" percent="0" rank="0" text="" dxfId="4">
      <formula>$I$43="Выплата"</formula>
    </cfRule>
  </conditionalFormatting>
  <conditionalFormatting sqref="C70">
    <cfRule type="containsText" priority="20" operator="containsText" aboveAverage="0" equalAverage="0" bottom="0" percent="0" rank="0" text="Ложь" dxfId="5">
      <formula>NOT(ISERROR(SEARCH("Ложь",C70)))</formula>
    </cfRule>
  </conditionalFormatting>
  <conditionalFormatting sqref="I66">
    <cfRule type="expression" priority="21" aboveAverage="0" equalAverage="0" bottom="0" percent="0" rank="0" text="" dxfId="4">
      <formula>$I$43="Выплата"</formula>
    </cfRule>
  </conditionalFormatting>
  <conditionalFormatting sqref="L66">
    <cfRule type="expression" priority="22" aboveAverage="0" equalAverage="0" bottom="0" percent="0" rank="0" text="" dxfId="4">
      <formula>$I$43="Выплата"</formula>
    </cfRule>
  </conditionalFormatting>
  <conditionalFormatting sqref="I46:I65">
    <cfRule type="expression" priority="23" aboveAverage="0" equalAverage="0" bottom="0" percent="0" rank="0" text="" dxfId="4">
      <formula>$I$43="Выплата"</formula>
    </cfRule>
  </conditionalFormatting>
  <conditionalFormatting sqref="L44:Q44">
    <cfRule type="expression" priority="24" aboveAverage="0" equalAverage="0" bottom="0" percent="0" rank="0" text="" dxfId="4">
      <formula>$I$43="Выплата"</formula>
    </cfRule>
  </conditionalFormatting>
  <conditionalFormatting sqref="I67 I101 I135 L43:Q43 L45:Q45 L46:L65 L68 L79:Q79 L80:L99 L102 L113:Q113 L114:L133 L136 O46:O66 O67:Q68 O69 O80:O100 O101:Q102 O103 O114:O134 O135:Q136 O137">
    <cfRule type="expression" priority="25" aboveAverage="0" equalAverage="0" bottom="0" percent="0" rank="0" text="" dxfId="4">
      <formula>$I$43="Выплата"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J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8" activeCellId="0" sqref="D18"/>
    </sheetView>
  </sheetViews>
  <sheetFormatPr defaultColWidth="8.6796875" defaultRowHeight="15" zeroHeight="false" outlineLevelRow="0" outlineLevelCol="0"/>
  <cols>
    <col collapsed="false" customWidth="true" hidden="false" outlineLevel="0" max="9" min="2" style="216" width="17.29"/>
  </cols>
  <sheetData>
    <row r="1" customFormat="false" ht="21.75" hidden="false" customHeight="true" outlineLevel="0" collapsed="false">
      <c r="C1" s="217" t="s">
        <v>63</v>
      </c>
      <c r="D1" s="217"/>
      <c r="E1" s="217"/>
      <c r="F1" s="217"/>
      <c r="G1" s="217"/>
      <c r="H1" s="217"/>
    </row>
    <row r="2" customFormat="false" ht="15" hidden="false" customHeight="false" outlineLevel="0" collapsed="false">
      <c r="B2" s="218"/>
      <c r="C2" s="219"/>
      <c r="D2" s="219"/>
      <c r="E2" s="219"/>
      <c r="F2" s="219"/>
      <c r="G2" s="219"/>
      <c r="H2" s="219"/>
      <c r="I2" s="219"/>
      <c r="J2" s="220"/>
    </row>
    <row r="3" customFormat="false" ht="15" hidden="false" customHeight="false" outlineLevel="0" collapsed="false">
      <c r="B3" s="201" t="s">
        <v>64</v>
      </c>
      <c r="C3" s="221"/>
      <c r="D3" s="222"/>
      <c r="E3" s="222"/>
      <c r="F3" s="222"/>
      <c r="G3" s="221"/>
      <c r="H3" s="223"/>
      <c r="I3" s="221"/>
      <c r="J3" s="224"/>
    </row>
    <row r="4" customFormat="false" ht="15" hidden="false" customHeight="false" outlineLevel="0" collapsed="false">
      <c r="B4" s="201"/>
      <c r="C4" s="221"/>
      <c r="D4" s="222"/>
      <c r="E4" s="222"/>
      <c r="F4" s="222"/>
      <c r="G4" s="221"/>
      <c r="H4" s="223"/>
      <c r="I4" s="221"/>
      <c r="J4" s="224"/>
    </row>
    <row r="5" customFormat="false" ht="15" hidden="false" customHeight="false" outlineLevel="0" collapsed="false">
      <c r="B5" s="201" t="s">
        <v>65</v>
      </c>
      <c r="C5" s="221"/>
      <c r="D5" s="222"/>
      <c r="E5" s="222"/>
      <c r="F5" s="222"/>
      <c r="G5" s="221"/>
      <c r="H5" s="223"/>
      <c r="I5" s="221"/>
      <c r="J5" s="224"/>
    </row>
    <row r="6" customFormat="false" ht="15" hidden="false" customHeight="false" outlineLevel="0" collapsed="false">
      <c r="B6" s="201"/>
      <c r="C6" s="221"/>
      <c r="D6" s="222"/>
      <c r="E6" s="222"/>
      <c r="F6" s="222"/>
      <c r="G6" s="221"/>
      <c r="H6" s="223"/>
      <c r="I6" s="221"/>
      <c r="J6" s="224"/>
    </row>
    <row r="7" customFormat="false" ht="15" hidden="false" customHeight="false" outlineLevel="0" collapsed="false">
      <c r="B7" s="201" t="s">
        <v>66</v>
      </c>
      <c r="C7" s="221"/>
      <c r="D7" s="222"/>
      <c r="E7" s="222"/>
      <c r="F7" s="222"/>
      <c r="G7" s="221"/>
      <c r="H7" s="223"/>
      <c r="I7" s="221"/>
      <c r="J7" s="224"/>
    </row>
    <row r="8" customFormat="false" ht="15" hidden="false" customHeight="false" outlineLevel="0" collapsed="false">
      <c r="B8" s="225"/>
      <c r="C8" s="221"/>
      <c r="D8" s="222"/>
      <c r="E8" s="222"/>
      <c r="F8" s="222"/>
      <c r="G8" s="221"/>
      <c r="H8" s="223"/>
      <c r="I8" s="221"/>
      <c r="J8" s="224"/>
    </row>
    <row r="9" customFormat="false" ht="15" hidden="false" customHeight="false" outlineLevel="0" collapsed="false">
      <c r="B9" s="226" t="s">
        <v>67</v>
      </c>
      <c r="C9" s="221"/>
      <c r="D9" s="227" t="n">
        <v>10</v>
      </c>
      <c r="E9" s="222"/>
      <c r="F9" s="222"/>
      <c r="G9" s="221"/>
      <c r="H9" s="223"/>
      <c r="I9" s="221"/>
      <c r="J9" s="224"/>
    </row>
    <row r="10" customFormat="false" ht="15" hidden="false" customHeight="false" outlineLevel="0" collapsed="false">
      <c r="B10" s="225"/>
      <c r="C10" s="221"/>
      <c r="D10" s="222"/>
      <c r="E10" s="222"/>
      <c r="F10" s="222"/>
      <c r="G10" s="221"/>
      <c r="H10" s="223"/>
      <c r="I10" s="221"/>
      <c r="J10" s="224"/>
    </row>
    <row r="11" customFormat="false" ht="15" hidden="false" customHeight="false" outlineLevel="0" collapsed="false">
      <c r="B11" s="225"/>
      <c r="C11" s="221"/>
      <c r="D11" s="222"/>
      <c r="E11" s="222"/>
      <c r="F11" s="222"/>
      <c r="G11" s="221"/>
      <c r="H11" s="223"/>
      <c r="I11" s="221"/>
      <c r="J11" s="224"/>
    </row>
    <row r="12" customFormat="false" ht="120" hidden="false" customHeight="true" outlineLevel="0" collapsed="false">
      <c r="B12" s="228" t="s">
        <v>9</v>
      </c>
      <c r="C12" s="229" t="s">
        <v>68</v>
      </c>
      <c r="D12" s="230" t="s">
        <v>69</v>
      </c>
      <c r="E12" s="231" t="s">
        <v>70</v>
      </c>
      <c r="F12" s="231" t="s">
        <v>71</v>
      </c>
      <c r="G12" s="232" t="s">
        <v>72</v>
      </c>
      <c r="H12" s="231" t="s">
        <v>73</v>
      </c>
      <c r="I12" s="232" t="s">
        <v>74</v>
      </c>
      <c r="J12" s="233"/>
    </row>
    <row r="13" customFormat="false" ht="15" hidden="false" customHeight="false" outlineLevel="0" collapsed="false">
      <c r="B13" s="234" t="s">
        <v>75</v>
      </c>
      <c r="C13" s="235" t="n">
        <v>200000</v>
      </c>
      <c r="D13" s="236" t="n">
        <v>0.3</v>
      </c>
      <c r="E13" s="221" t="n">
        <f aca="false">D13*C13</f>
        <v>60000</v>
      </c>
      <c r="F13" s="221" t="n">
        <f aca="false">SUM(E13+C13)</f>
        <v>260000</v>
      </c>
      <c r="G13" s="221" t="n">
        <f aca="false">C13*$D$9/67%*100%</f>
        <v>2985074.62686567</v>
      </c>
      <c r="H13" s="237" t="n">
        <f aca="false">D13/$D$9+100%</f>
        <v>1.03</v>
      </c>
      <c r="I13" s="221" t="n">
        <f aca="false">G13*H13-C13*($D$9-1)-F13</f>
        <v>1014626.86567164</v>
      </c>
      <c r="J13" s="224"/>
    </row>
    <row r="14" customFormat="false" ht="15" hidden="false" customHeight="false" outlineLevel="0" collapsed="false">
      <c r="B14" s="234" t="s">
        <v>76</v>
      </c>
      <c r="C14" s="235" t="n">
        <v>200000</v>
      </c>
      <c r="D14" s="236" t="n">
        <v>-0.3</v>
      </c>
      <c r="E14" s="221" t="n">
        <f aca="false">D14*C14</f>
        <v>-60000</v>
      </c>
      <c r="F14" s="221" t="n">
        <f aca="false">SUM(E14+C14)</f>
        <v>140000</v>
      </c>
      <c r="G14" s="221" t="n">
        <f aca="false">C14*$D$9/67%*100%</f>
        <v>2985074.62686567</v>
      </c>
      <c r="H14" s="237" t="n">
        <f aca="false">D14/$D$9+100%</f>
        <v>0.97</v>
      </c>
      <c r="I14" s="221" t="n">
        <f aca="false">G14*H14-C14*($D$9-1)-F14</f>
        <v>955522.388059701</v>
      </c>
      <c r="J14" s="224"/>
    </row>
    <row r="15" customFormat="false" ht="15" hidden="false" customHeight="false" outlineLevel="0" collapsed="false">
      <c r="B15" s="234" t="s">
        <v>77</v>
      </c>
      <c r="C15" s="235" t="n">
        <v>330000</v>
      </c>
      <c r="D15" s="236" t="n">
        <v>0</v>
      </c>
      <c r="E15" s="221" t="n">
        <f aca="false">D15*C15</f>
        <v>0</v>
      </c>
      <c r="F15" s="221" t="n">
        <f aca="false">SUM(E15+C15)</f>
        <v>330000</v>
      </c>
      <c r="G15" s="221" t="n">
        <f aca="false">C15*$D$9/67%*100%</f>
        <v>4925373.13432836</v>
      </c>
      <c r="H15" s="237" t="n">
        <f aca="false">D15/$D$9+100%</f>
        <v>1</v>
      </c>
      <c r="I15" s="221" t="n">
        <f aca="false">G15*H15-C15*($D$9-1)-F15</f>
        <v>1625373.13432836</v>
      </c>
      <c r="J15" s="224"/>
    </row>
    <row r="16" customFormat="false" ht="15" hidden="false" customHeight="false" outlineLevel="0" collapsed="false">
      <c r="B16" s="234" t="s">
        <v>78</v>
      </c>
      <c r="C16" s="235" t="n">
        <v>350000</v>
      </c>
      <c r="D16" s="236" t="n">
        <v>0</v>
      </c>
      <c r="E16" s="221" t="n">
        <f aca="false">D16*C16</f>
        <v>0</v>
      </c>
      <c r="F16" s="221" t="n">
        <f aca="false">SUM(E16+C16)</f>
        <v>350000</v>
      </c>
      <c r="G16" s="221" t="n">
        <f aca="false">C16*$D$9/67%*100%</f>
        <v>5223880.59701493</v>
      </c>
      <c r="H16" s="237" t="n">
        <f aca="false">D16/$D$9+100%</f>
        <v>1</v>
      </c>
      <c r="I16" s="221" t="n">
        <f aca="false">G16*H16-C16*($D$9-1)-F16</f>
        <v>1723880.59701493</v>
      </c>
      <c r="J16" s="224"/>
    </row>
    <row r="17" customFormat="false" ht="15" hidden="false" customHeight="false" outlineLevel="0" collapsed="false">
      <c r="B17" s="234" t="s">
        <v>79</v>
      </c>
      <c r="C17" s="235" t="n">
        <v>350000</v>
      </c>
      <c r="D17" s="236" t="n">
        <v>0</v>
      </c>
      <c r="E17" s="221" t="n">
        <f aca="false">D17*C17</f>
        <v>0</v>
      </c>
      <c r="F17" s="221" t="n">
        <f aca="false">SUM(E17+C17)</f>
        <v>350000</v>
      </c>
      <c r="G17" s="221" t="n">
        <f aca="false">C17*$D$9/67%*100%</f>
        <v>5223880.59701493</v>
      </c>
      <c r="H17" s="237" t="n">
        <f aca="false">D17/$D$9+100%</f>
        <v>1</v>
      </c>
      <c r="I17" s="221" t="n">
        <f aca="false">G17*H17-C17*($D$9-1)-F17</f>
        <v>1723880.59701493</v>
      </c>
      <c r="J17" s="224"/>
    </row>
    <row r="18" customFormat="false" ht="15" hidden="false" customHeight="false" outlineLevel="0" collapsed="false">
      <c r="B18" s="234" t="s">
        <v>80</v>
      </c>
      <c r="C18" s="235" t="n">
        <v>100000</v>
      </c>
      <c r="D18" s="236" t="n">
        <v>0</v>
      </c>
      <c r="E18" s="221" t="n">
        <f aca="false">D18*C18</f>
        <v>0</v>
      </c>
      <c r="F18" s="221" t="n">
        <f aca="false">SUM(E18+C18)</f>
        <v>100000</v>
      </c>
      <c r="G18" s="221" t="n">
        <f aca="false">C18*$D$9/67%*100%</f>
        <v>1492537.31343284</v>
      </c>
      <c r="H18" s="237" t="n">
        <f aca="false">D18/$D$9+100%</f>
        <v>1</v>
      </c>
      <c r="I18" s="221" t="n">
        <f aca="false">G18*H18-C18*($D$9-1)-F18</f>
        <v>492537.313432836</v>
      </c>
      <c r="J18" s="224"/>
    </row>
    <row r="19" customFormat="false" ht="15" hidden="false" customHeight="false" outlineLevel="0" collapsed="false">
      <c r="B19" s="234" t="s">
        <v>81</v>
      </c>
      <c r="C19" s="235" t="n">
        <v>100000</v>
      </c>
      <c r="D19" s="236" t="n">
        <v>0</v>
      </c>
      <c r="E19" s="221" t="n">
        <f aca="false">D19*C19</f>
        <v>0</v>
      </c>
      <c r="F19" s="221" t="n">
        <f aca="false">SUM(E19+C19)</f>
        <v>100000</v>
      </c>
      <c r="G19" s="221" t="n">
        <f aca="false">C19*$D$9/67%*100%</f>
        <v>1492537.31343284</v>
      </c>
      <c r="H19" s="237" t="n">
        <f aca="false">D19/$D$9+100%</f>
        <v>1</v>
      </c>
      <c r="I19" s="221" t="n">
        <f aca="false">G19*H19-C19*($D$9-1)-F19</f>
        <v>492537.313432836</v>
      </c>
      <c r="J19" s="224"/>
    </row>
    <row r="20" customFormat="false" ht="15" hidden="false" customHeight="false" outlineLevel="0" collapsed="false">
      <c r="B20" s="234" t="s">
        <v>82</v>
      </c>
      <c r="C20" s="235" t="n">
        <v>100000</v>
      </c>
      <c r="D20" s="236" t="n">
        <v>0</v>
      </c>
      <c r="E20" s="221" t="n">
        <f aca="false">D20*C20</f>
        <v>0</v>
      </c>
      <c r="F20" s="221" t="n">
        <f aca="false">SUM(E20+C20)</f>
        <v>100000</v>
      </c>
      <c r="G20" s="221" t="n">
        <f aca="false">C20*$D$9/67%*100%</f>
        <v>1492537.31343284</v>
      </c>
      <c r="H20" s="237" t="n">
        <f aca="false">D20/$D$9+100%</f>
        <v>1</v>
      </c>
      <c r="I20" s="221" t="n">
        <f aca="false">G20*H20-C20*($D$9-1)-F20</f>
        <v>492537.313432836</v>
      </c>
      <c r="J20" s="224"/>
    </row>
    <row r="21" customFormat="false" ht="15" hidden="false" customHeight="false" outlineLevel="0" collapsed="false">
      <c r="B21" s="234" t="s">
        <v>83</v>
      </c>
      <c r="C21" s="235" t="n">
        <v>100000</v>
      </c>
      <c r="D21" s="236" t="n">
        <v>0</v>
      </c>
      <c r="E21" s="221" t="n">
        <f aca="false">D21*C21</f>
        <v>0</v>
      </c>
      <c r="F21" s="221" t="n">
        <f aca="false">SUM(E21+C21)</f>
        <v>100000</v>
      </c>
      <c r="G21" s="221" t="n">
        <f aca="false">C21*$D$9/67%*100%</f>
        <v>1492537.31343284</v>
      </c>
      <c r="H21" s="237" t="n">
        <f aca="false">D21/$D$9+100%</f>
        <v>1</v>
      </c>
      <c r="I21" s="221" t="n">
        <f aca="false">G21*H21-C21*($D$9-1)-F21</f>
        <v>492537.313432836</v>
      </c>
      <c r="J21" s="224"/>
    </row>
    <row r="22" customFormat="false" ht="15" hidden="false" customHeight="false" outlineLevel="0" collapsed="false">
      <c r="B22" s="234" t="s">
        <v>84</v>
      </c>
      <c r="C22" s="235" t="n">
        <v>100000</v>
      </c>
      <c r="D22" s="236" t="n">
        <v>0</v>
      </c>
      <c r="E22" s="221" t="n">
        <f aca="false">D22*C22</f>
        <v>0</v>
      </c>
      <c r="F22" s="221" t="n">
        <f aca="false">SUM(E22+C22)</f>
        <v>100000</v>
      </c>
      <c r="G22" s="221" t="n">
        <f aca="false">C22*$D$9/67%*100%</f>
        <v>1492537.31343284</v>
      </c>
      <c r="H22" s="237" t="n">
        <f aca="false">D22/$D$9+100%</f>
        <v>1</v>
      </c>
      <c r="I22" s="221" t="n">
        <f aca="false">G22*H22-C22*($D$9-1)-F22</f>
        <v>492537.313432836</v>
      </c>
      <c r="J22" s="224"/>
    </row>
    <row r="23" customFormat="false" ht="15" hidden="false" customHeight="false" outlineLevel="0" collapsed="false">
      <c r="B23" s="225"/>
      <c r="C23" s="238" t="s">
        <v>85</v>
      </c>
      <c r="D23" s="238"/>
      <c r="E23" s="239" t="n">
        <f aca="false">SUM(E13:E22)</f>
        <v>0</v>
      </c>
      <c r="F23" s="222"/>
      <c r="G23" s="221"/>
      <c r="H23" s="223"/>
      <c r="I23" s="221"/>
      <c r="J23" s="224"/>
    </row>
    <row r="24" customFormat="false" ht="15" hidden="false" customHeight="false" outlineLevel="0" collapsed="false">
      <c r="B24" s="225"/>
      <c r="C24" s="221"/>
      <c r="D24" s="222"/>
      <c r="E24" s="222"/>
      <c r="F24" s="222"/>
      <c r="G24" s="221"/>
      <c r="H24" s="223"/>
      <c r="I24" s="221"/>
      <c r="J24" s="224"/>
    </row>
    <row r="25" customFormat="false" ht="15" hidden="false" customHeight="false" outlineLevel="0" collapsed="false">
      <c r="B25" s="240"/>
      <c r="J25" s="241"/>
    </row>
    <row r="26" customFormat="false" ht="15.75" hidden="false" customHeight="true" outlineLevel="0" collapsed="false">
      <c r="B26" s="242"/>
      <c r="C26" s="243"/>
      <c r="D26" s="243"/>
      <c r="E26" s="243"/>
      <c r="F26" s="243"/>
      <c r="G26" s="243"/>
      <c r="H26" s="243"/>
      <c r="I26" s="243"/>
      <c r="J26" s="244"/>
    </row>
    <row r="28" customFormat="false" ht="21.75" hidden="false" customHeight="true" outlineLevel="0" collapsed="false">
      <c r="C28" s="245" t="s">
        <v>52</v>
      </c>
      <c r="D28" s="245"/>
      <c r="E28" s="245"/>
      <c r="F28" s="245"/>
      <c r="G28" s="245"/>
      <c r="H28" s="245"/>
    </row>
    <row r="29" customFormat="false" ht="15" hidden="false" customHeight="false" outlineLevel="0" collapsed="false">
      <c r="B29" s="218"/>
      <c r="C29" s="219"/>
      <c r="D29" s="219"/>
      <c r="E29" s="219"/>
      <c r="F29" s="219"/>
      <c r="G29" s="219"/>
      <c r="H29" s="219"/>
      <c r="I29" s="219"/>
      <c r="J29" s="220"/>
    </row>
    <row r="30" customFormat="false" ht="15" hidden="false" customHeight="false" outlineLevel="0" collapsed="false">
      <c r="B30" s="201" t="s">
        <v>64</v>
      </c>
      <c r="C30" s="246"/>
      <c r="J30" s="241"/>
    </row>
    <row r="31" customFormat="false" ht="15" hidden="false" customHeight="false" outlineLevel="0" collapsed="false">
      <c r="B31" s="201"/>
      <c r="C31" s="246"/>
      <c r="J31" s="241"/>
    </row>
    <row r="32" customFormat="false" ht="15" hidden="false" customHeight="false" outlineLevel="0" collapsed="false">
      <c r="B32" s="201" t="s">
        <v>65</v>
      </c>
      <c r="C32" s="246"/>
      <c r="J32" s="241"/>
    </row>
    <row r="33" customFormat="false" ht="15" hidden="false" customHeight="false" outlineLevel="0" collapsed="false">
      <c r="B33" s="201"/>
      <c r="C33" s="246"/>
      <c r="J33" s="241"/>
    </row>
    <row r="34" customFormat="false" ht="15" hidden="false" customHeight="false" outlineLevel="0" collapsed="false">
      <c r="B34" s="201" t="s">
        <v>66</v>
      </c>
      <c r="C34" s="246"/>
      <c r="J34" s="241"/>
    </row>
    <row r="35" customFormat="false" ht="15" hidden="false" customHeight="false" outlineLevel="0" collapsed="false">
      <c r="B35" s="240"/>
      <c r="C35" s="246"/>
      <c r="J35" s="241"/>
    </row>
    <row r="36" customFormat="false" ht="15" hidden="false" customHeight="false" outlineLevel="0" collapsed="false">
      <c r="B36" s="240"/>
      <c r="C36" s="246"/>
      <c r="J36" s="241"/>
    </row>
    <row r="37" customFormat="false" ht="45" hidden="false" customHeight="true" outlineLevel="0" collapsed="false">
      <c r="B37" s="247" t="s">
        <v>9</v>
      </c>
      <c r="C37" s="248" t="s">
        <v>86</v>
      </c>
      <c r="D37" s="249" t="s">
        <v>69</v>
      </c>
      <c r="E37" s="250" t="s">
        <v>70</v>
      </c>
      <c r="F37" s="250" t="s">
        <v>71</v>
      </c>
      <c r="G37" s="250"/>
      <c r="J37" s="241"/>
    </row>
    <row r="38" customFormat="false" ht="15" hidden="false" customHeight="false" outlineLevel="0" collapsed="false">
      <c r="B38" s="251" t="s">
        <v>75</v>
      </c>
      <c r="C38" s="252" t="n">
        <v>200000</v>
      </c>
      <c r="D38" s="253" t="n">
        <v>0.3</v>
      </c>
      <c r="E38" s="246" t="n">
        <f aca="false">D38*C38</f>
        <v>60000</v>
      </c>
      <c r="F38" s="246" t="n">
        <f aca="false">SUM(E38+C38)</f>
        <v>260000</v>
      </c>
      <c r="J38" s="241"/>
    </row>
    <row r="39" customFormat="false" ht="15" hidden="false" customHeight="false" outlineLevel="0" collapsed="false">
      <c r="B39" s="251" t="s">
        <v>76</v>
      </c>
      <c r="C39" s="252" t="n">
        <v>200000</v>
      </c>
      <c r="D39" s="253" t="n">
        <v>-0.3</v>
      </c>
      <c r="E39" s="246" t="n">
        <f aca="false">D39*C39</f>
        <v>-60000</v>
      </c>
      <c r="F39" s="246" t="n">
        <f aca="false">SUM(E39+C39)</f>
        <v>140000</v>
      </c>
      <c r="J39" s="241"/>
    </row>
    <row r="40" customFormat="false" ht="15" hidden="false" customHeight="false" outlineLevel="0" collapsed="false">
      <c r="B40" s="251" t="s">
        <v>77</v>
      </c>
      <c r="C40" s="252" t="n">
        <v>330000</v>
      </c>
      <c r="D40" s="253" t="n">
        <v>0</v>
      </c>
      <c r="E40" s="246" t="n">
        <f aca="false">D40*C40</f>
        <v>0</v>
      </c>
      <c r="F40" s="246" t="n">
        <f aca="false">SUM(E40+C40)</f>
        <v>330000</v>
      </c>
      <c r="J40" s="241"/>
    </row>
    <row r="41" customFormat="false" ht="15" hidden="false" customHeight="false" outlineLevel="0" collapsed="false">
      <c r="B41" s="251" t="s">
        <v>78</v>
      </c>
      <c r="C41" s="252" t="n">
        <v>350000</v>
      </c>
      <c r="D41" s="253" t="n">
        <v>0</v>
      </c>
      <c r="E41" s="246" t="n">
        <f aca="false">D41*C41</f>
        <v>0</v>
      </c>
      <c r="F41" s="246" t="n">
        <f aca="false">SUM(E41+C41)</f>
        <v>350000</v>
      </c>
      <c r="J41" s="241"/>
    </row>
    <row r="42" customFormat="false" ht="15" hidden="false" customHeight="false" outlineLevel="0" collapsed="false">
      <c r="B42" s="251" t="s">
        <v>79</v>
      </c>
      <c r="C42" s="252" t="n">
        <v>350000</v>
      </c>
      <c r="D42" s="253" t="n">
        <v>0</v>
      </c>
      <c r="E42" s="246" t="n">
        <f aca="false">D42*C42</f>
        <v>0</v>
      </c>
      <c r="F42" s="246" t="n">
        <f aca="false">SUM(E42+C42)</f>
        <v>350000</v>
      </c>
      <c r="J42" s="241"/>
    </row>
    <row r="43" customFormat="false" ht="15" hidden="false" customHeight="false" outlineLevel="0" collapsed="false">
      <c r="B43" s="251" t="s">
        <v>80</v>
      </c>
      <c r="C43" s="252" t="n">
        <v>100000</v>
      </c>
      <c r="D43" s="253" t="n">
        <v>0</v>
      </c>
      <c r="E43" s="246" t="n">
        <f aca="false">D43*C43</f>
        <v>0</v>
      </c>
      <c r="F43" s="246" t="n">
        <f aca="false">SUM(E43+C43)</f>
        <v>100000</v>
      </c>
      <c r="J43" s="241"/>
    </row>
    <row r="44" customFormat="false" ht="15" hidden="false" customHeight="false" outlineLevel="0" collapsed="false">
      <c r="B44" s="251" t="s">
        <v>81</v>
      </c>
      <c r="C44" s="252" t="n">
        <v>100000</v>
      </c>
      <c r="D44" s="253" t="n">
        <v>0</v>
      </c>
      <c r="E44" s="246" t="n">
        <f aca="false">D44*C44</f>
        <v>0</v>
      </c>
      <c r="F44" s="246" t="n">
        <f aca="false">SUM(E44+C44)</f>
        <v>100000</v>
      </c>
      <c r="J44" s="241"/>
    </row>
    <row r="45" customFormat="false" ht="15" hidden="false" customHeight="false" outlineLevel="0" collapsed="false">
      <c r="B45" s="251" t="s">
        <v>82</v>
      </c>
      <c r="C45" s="252" t="n">
        <v>100000</v>
      </c>
      <c r="D45" s="253" t="n">
        <v>0</v>
      </c>
      <c r="E45" s="246" t="n">
        <f aca="false">D45*C45</f>
        <v>0</v>
      </c>
      <c r="F45" s="246" t="n">
        <f aca="false">SUM(E45+C45)</f>
        <v>100000</v>
      </c>
      <c r="J45" s="241"/>
    </row>
    <row r="46" customFormat="false" ht="15" hidden="false" customHeight="false" outlineLevel="0" collapsed="false">
      <c r="B46" s="251" t="s">
        <v>83</v>
      </c>
      <c r="C46" s="252" t="n">
        <v>100000</v>
      </c>
      <c r="D46" s="253" t="n">
        <v>0</v>
      </c>
      <c r="E46" s="246" t="n">
        <f aca="false">D46*C46</f>
        <v>0</v>
      </c>
      <c r="F46" s="246" t="n">
        <f aca="false">SUM(E46+C46)</f>
        <v>100000</v>
      </c>
      <c r="J46" s="241"/>
    </row>
    <row r="47" customFormat="false" ht="15" hidden="false" customHeight="false" outlineLevel="0" collapsed="false">
      <c r="B47" s="251" t="s">
        <v>84</v>
      </c>
      <c r="C47" s="252" t="n">
        <v>100000</v>
      </c>
      <c r="D47" s="253" t="n">
        <v>0</v>
      </c>
      <c r="E47" s="246" t="n">
        <f aca="false">D47*C47</f>
        <v>0</v>
      </c>
      <c r="F47" s="246" t="n">
        <f aca="false">SUM(E47+C47)</f>
        <v>100000</v>
      </c>
      <c r="J47" s="241"/>
    </row>
    <row r="48" customFormat="false" ht="15" hidden="false" customHeight="false" outlineLevel="0" collapsed="false">
      <c r="B48" s="240"/>
      <c r="C48" s="254" t="s">
        <v>85</v>
      </c>
      <c r="D48" s="254"/>
      <c r="E48" s="255" t="n">
        <f aca="false">SUM(E38:E47)</f>
        <v>0</v>
      </c>
      <c r="J48" s="241"/>
    </row>
    <row r="49" customFormat="false" ht="15" hidden="false" customHeight="false" outlineLevel="0" collapsed="false">
      <c r="B49" s="240"/>
      <c r="C49" s="246"/>
      <c r="J49" s="241"/>
    </row>
    <row r="50" customFormat="false" ht="15" hidden="false" customHeight="false" outlineLevel="0" collapsed="false">
      <c r="B50" s="240"/>
      <c r="C50" s="246"/>
      <c r="J50" s="241"/>
    </row>
    <row r="51" customFormat="false" ht="15" hidden="false" customHeight="false" outlineLevel="0" collapsed="false">
      <c r="B51" s="240"/>
      <c r="J51" s="241"/>
    </row>
    <row r="52" customFormat="false" ht="15.75" hidden="false" customHeight="true" outlineLevel="0" collapsed="false">
      <c r="B52" s="242"/>
      <c r="C52" s="243"/>
      <c r="D52" s="243"/>
      <c r="E52" s="243"/>
      <c r="F52" s="243"/>
      <c r="G52" s="243"/>
      <c r="H52" s="243"/>
      <c r="I52" s="243"/>
      <c r="J52" s="244"/>
    </row>
  </sheetData>
  <mergeCells count="4">
    <mergeCell ref="C1:H1"/>
    <mergeCell ref="C23:D23"/>
    <mergeCell ref="C28:H28"/>
    <mergeCell ref="C48:D48"/>
  </mergeCells>
  <conditionalFormatting sqref="E48">
    <cfRule type="cellIs" priority="2" operator="lessThan" aboveAverage="0" equalAverage="0" bottom="0" percent="0" rank="0" text="" dxfId="0">
      <formula>0</formula>
    </cfRule>
    <cfRule type="cellIs" priority="3" operator="greaterThan" aboveAverage="0" equalAverage="0" bottom="0" percent="0" rank="0" text="" dxfId="0">
      <formula>0</formula>
    </cfRule>
  </conditionalFormatting>
  <conditionalFormatting sqref="E23">
    <cfRule type="cellIs" priority="4" operator="lessThan" aboveAverage="0" equalAverage="0" bottom="0" percent="0" rank="0" text="" dxfId="0">
      <formula>0</formula>
    </cfRule>
    <cfRule type="cellIs" priority="5" operator="greaterThan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N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8.6796875" defaultRowHeight="15" zeroHeight="false" outlineLevelRow="0" outlineLevelCol="0"/>
  <cols>
    <col collapsed="false" customWidth="true" hidden="false" outlineLevel="0" max="2" min="2" style="216" width="23.86"/>
    <col collapsed="false" customWidth="true" hidden="false" outlineLevel="0" max="4" min="4" style="216" width="21.43"/>
    <col collapsed="false" customWidth="true" hidden="true" outlineLevel="0" max="5" min="5" style="216" width="11.53"/>
    <col collapsed="false" customWidth="true" hidden="true" outlineLevel="0" max="6" min="6" style="216" width="9.14"/>
    <col collapsed="false" customWidth="true" hidden="true" outlineLevel="0" max="10" min="7" style="216" width="11.53"/>
    <col collapsed="false" customWidth="true" hidden="true" outlineLevel="0" max="11" min="11" style="216" width="9.14"/>
    <col collapsed="false" customWidth="true" hidden="true" outlineLevel="0" max="12" min="12" style="216" width="11.53"/>
    <col collapsed="false" customWidth="true" hidden="true" outlineLevel="0" max="13" min="13" style="216" width="41.42"/>
    <col collapsed="false" customWidth="true" hidden="false" outlineLevel="0" max="14" min="14" style="216" width="20.42"/>
    <col collapsed="false" customWidth="true" hidden="false" outlineLevel="0" max="17" min="15" style="216" width="29.14"/>
    <col collapsed="false" customWidth="true" hidden="false" outlineLevel="0" max="18" min="18" style="216" width="9.14"/>
  </cols>
  <sheetData>
    <row r="1" customFormat="false" ht="15" hidden="false" customHeight="true" outlineLevel="0" collapsed="false">
      <c r="B1" s="216" t="s">
        <v>87</v>
      </c>
      <c r="M1" s="256"/>
      <c r="N1" s="256"/>
    </row>
    <row r="2" customFormat="false" ht="15" hidden="false" customHeight="false" outlineLevel="0" collapsed="false">
      <c r="B2" s="257" t="s">
        <v>88</v>
      </c>
      <c r="M2" s="256"/>
      <c r="N2" s="256"/>
    </row>
    <row r="3" customFormat="false" ht="15" hidden="false" customHeight="false" outlineLevel="0" collapsed="false">
      <c r="B3" s="257" t="s">
        <v>89</v>
      </c>
      <c r="M3" s="256"/>
      <c r="N3" s="256"/>
    </row>
    <row r="4" customFormat="false" ht="15" hidden="false" customHeight="false" outlineLevel="0" collapsed="false">
      <c r="B4" s="258" t="s">
        <v>5</v>
      </c>
      <c r="M4" s="256"/>
      <c r="N4" s="256"/>
    </row>
    <row r="5" customFormat="false" ht="15" hidden="false" customHeight="false" outlineLevel="0" collapsed="false">
      <c r="B5" s="258" t="s">
        <v>90</v>
      </c>
      <c r="M5" s="256"/>
      <c r="N5" s="256"/>
    </row>
    <row r="6" customFormat="false" ht="15" hidden="false" customHeight="false" outlineLevel="0" collapsed="false">
      <c r="M6" s="256"/>
      <c r="N6" s="256"/>
    </row>
    <row r="7" customFormat="false" ht="15" hidden="false" customHeight="false" outlineLevel="0" collapsed="false">
      <c r="M7" s="256"/>
      <c r="N7" s="256"/>
    </row>
    <row r="8" customFormat="false" ht="15" hidden="false" customHeight="false" outlineLevel="0" collapsed="false">
      <c r="M8" s="256"/>
      <c r="N8" s="256"/>
    </row>
    <row r="9" customFormat="false" ht="15" hidden="false" customHeight="false" outlineLevel="0" collapsed="false">
      <c r="M9" s="256"/>
      <c r="N9" s="256"/>
    </row>
    <row r="10" customFormat="false" ht="15" hidden="false" customHeight="false" outlineLevel="0" collapsed="false">
      <c r="B10" s="216" t="s">
        <v>91</v>
      </c>
      <c r="M10" s="256"/>
      <c r="N10" s="256"/>
    </row>
    <row r="11" customFormat="false" ht="15" hidden="false" customHeight="false" outlineLevel="0" collapsed="false">
      <c r="B11" s="259" t="s">
        <v>92</v>
      </c>
      <c r="M11" s="256"/>
      <c r="N11" s="256"/>
    </row>
    <row r="12" customFormat="false" ht="15" hidden="false" customHeight="false" outlineLevel="0" collapsed="false">
      <c r="B12" s="259" t="s">
        <v>93</v>
      </c>
      <c r="M12" s="256"/>
      <c r="N12" s="256"/>
    </row>
    <row r="13" customFormat="false" ht="15" hidden="false" customHeight="false" outlineLevel="0" collapsed="false">
      <c r="B13" s="259" t="s">
        <v>94</v>
      </c>
      <c r="M13" s="256"/>
      <c r="N13" s="256"/>
    </row>
    <row r="14" customFormat="false" ht="15" hidden="false" customHeight="false" outlineLevel="0" collapsed="false">
      <c r="B14" s="260"/>
      <c r="M14" s="256"/>
      <c r="N14" s="256"/>
    </row>
    <row r="15" customFormat="false" ht="15" hidden="false" customHeight="false" outlineLevel="0" collapsed="false">
      <c r="M15" s="256"/>
      <c r="N15" s="256"/>
    </row>
    <row r="16" customFormat="false" ht="15" hidden="false" customHeight="false" outlineLevel="0" collapsed="false">
      <c r="M16" s="256"/>
    </row>
    <row r="17" customFormat="false" ht="15" hidden="false" customHeight="false" outlineLevel="0" collapsed="false">
      <c r="M17" s="256"/>
    </row>
    <row r="18" customFormat="false" ht="15" hidden="false" customHeight="false" outlineLevel="0" collapsed="false">
      <c r="M18" s="256"/>
    </row>
    <row r="19" customFormat="false" ht="15" hidden="false" customHeight="false" outlineLevel="0" collapsed="false">
      <c r="M19" s="256"/>
    </row>
    <row r="20" customFormat="false" ht="15" hidden="false" customHeight="false" outlineLevel="0" collapsed="false">
      <c r="M20" s="256"/>
    </row>
    <row r="21" customFormat="false" ht="15" hidden="false" customHeight="false" outlineLevel="0" collapsed="false">
      <c r="M21" s="256"/>
    </row>
    <row r="22" customFormat="false" ht="15" hidden="false" customHeight="false" outlineLevel="0" collapsed="false">
      <c r="M22" s="256"/>
    </row>
    <row r="23" customFormat="false" ht="15" hidden="false" customHeight="false" outlineLevel="0" collapsed="false">
      <c r="M23" s="256"/>
    </row>
    <row r="24" customFormat="false" ht="15" hidden="false" customHeight="false" outlineLevel="0" collapsed="false">
      <c r="M24" s="256"/>
    </row>
    <row r="25" customFormat="false" ht="15" hidden="false" customHeight="false" outlineLevel="0" collapsed="false">
      <c r="M25" s="256"/>
    </row>
    <row r="26" customFormat="false" ht="15" hidden="false" customHeight="false" outlineLevel="0" collapsed="false">
      <c r="M26" s="256"/>
    </row>
    <row r="27" customFormat="false" ht="15" hidden="false" customHeight="false" outlineLevel="0" collapsed="false">
      <c r="M27" s="256"/>
    </row>
    <row r="28" customFormat="false" ht="15" hidden="false" customHeight="false" outlineLevel="0" collapsed="false">
      <c r="M28" s="256"/>
    </row>
    <row r="29" customFormat="false" ht="15" hidden="false" customHeight="false" outlineLevel="0" collapsed="false">
      <c r="M29" s="256"/>
    </row>
    <row r="30" customFormat="false" ht="15" hidden="false" customHeight="false" outlineLevel="0" collapsed="false">
      <c r="M30" s="256"/>
    </row>
    <row r="31" customFormat="false" ht="15" hidden="false" customHeight="false" outlineLevel="0" collapsed="false">
      <c r="M31" s="256"/>
    </row>
    <row r="32" customFormat="false" ht="15" hidden="false" customHeight="false" outlineLevel="0" collapsed="false">
      <c r="M32" s="256"/>
    </row>
    <row r="33" customFormat="false" ht="15" hidden="false" customHeight="false" outlineLevel="0" collapsed="false">
      <c r="M33" s="256"/>
    </row>
    <row r="34" customFormat="false" ht="15" hidden="false" customHeight="false" outlineLevel="0" collapsed="false">
      <c r="M34" s="256"/>
    </row>
    <row r="35" customFormat="false" ht="15" hidden="false" customHeight="false" outlineLevel="0" collapsed="false">
      <c r="M35" s="256"/>
    </row>
    <row r="36" customFormat="false" ht="15" hidden="false" customHeight="false" outlineLevel="0" collapsed="false">
      <c r="M36" s="256"/>
    </row>
    <row r="37" customFormat="false" ht="15" hidden="false" customHeight="false" outlineLevel="0" collapsed="false">
      <c r="M37" s="256"/>
    </row>
    <row r="38" customFormat="false" ht="15" hidden="false" customHeight="false" outlineLevel="0" collapsed="false">
      <c r="M38" s="256"/>
    </row>
    <row r="39" customFormat="false" ht="15" hidden="false" customHeight="false" outlineLevel="0" collapsed="false">
      <c r="M39" s="256"/>
    </row>
    <row r="40" customFormat="false" ht="15" hidden="false" customHeight="false" outlineLevel="0" collapsed="false">
      <c r="M40" s="256"/>
    </row>
    <row r="41" customFormat="false" ht="15" hidden="false" customHeight="false" outlineLevel="0" collapsed="false">
      <c r="M41" s="256"/>
    </row>
    <row r="42" customFormat="false" ht="15" hidden="false" customHeight="false" outlineLevel="0" collapsed="false">
      <c r="M42" s="256"/>
    </row>
    <row r="43" customFormat="false" ht="15" hidden="false" customHeight="false" outlineLevel="0" collapsed="false">
      <c r="M43" s="256"/>
    </row>
    <row r="44" customFormat="false" ht="15" hidden="false" customHeight="false" outlineLevel="0" collapsed="false">
      <c r="M44" s="256"/>
    </row>
    <row r="45" customFormat="false" ht="15" hidden="false" customHeight="false" outlineLevel="0" collapsed="false">
      <c r="M45" s="256"/>
    </row>
    <row r="46" customFormat="false" ht="15" hidden="false" customHeight="false" outlineLevel="0" collapsed="false">
      <c r="M46" s="256"/>
    </row>
    <row r="47" customFormat="false" ht="15" hidden="false" customHeight="false" outlineLevel="0" collapsed="false">
      <c r="M47" s="256"/>
    </row>
    <row r="48" customFormat="false" ht="15" hidden="false" customHeight="false" outlineLevel="0" collapsed="false">
      <c r="M48" s="256"/>
      <c r="N48" s="256"/>
    </row>
    <row r="49" customFormat="false" ht="15" hidden="false" customHeight="false" outlineLevel="0" collapsed="false">
      <c r="M49" s="256"/>
      <c r="N49" s="256"/>
    </row>
    <row r="50" customFormat="false" ht="15" hidden="false" customHeight="false" outlineLevel="0" collapsed="false">
      <c r="M50" s="256"/>
      <c r="N50" s="256"/>
    </row>
    <row r="51" customFormat="false" ht="15" hidden="false" customHeight="false" outlineLevel="0" collapsed="false">
      <c r="M51" s="256"/>
      <c r="N51" s="25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8.6796875" defaultRowHeight="15" zeroHeight="false" outlineLevelRow="0" outlineLevelCol="0"/>
  <cols>
    <col collapsed="false" customWidth="true" hidden="false" outlineLevel="0" max="1" min="1" style="216" width="11.43"/>
    <col collapsed="false" customWidth="true" hidden="false" outlineLevel="0" max="2" min="2" style="216" width="10.57"/>
    <col collapsed="false" customWidth="true" hidden="false" outlineLevel="0" max="3" min="3" style="216" width="46.29"/>
    <col collapsed="false" customWidth="true" hidden="false" outlineLevel="0" max="8" min="8" style="216" width="16.57"/>
    <col collapsed="false" customWidth="true" hidden="false" outlineLevel="0" max="9" min="9" style="216" width="20"/>
    <col collapsed="false" customWidth="true" hidden="false" outlineLevel="0" max="12" min="12" style="216" width="24"/>
    <col collapsed="false" customWidth="true" hidden="false" outlineLevel="0" max="14" min="14" style="216" width="10.85"/>
  </cols>
  <sheetData>
    <row r="1" customFormat="false" ht="15" hidden="false" customHeight="false" outlineLevel="0" collapsed="false">
      <c r="A1" s="216" t="n">
        <v>1</v>
      </c>
      <c r="B1" s="216" t="n">
        <v>2</v>
      </c>
      <c r="C1" s="216" t="n">
        <v>3</v>
      </c>
      <c r="D1" s="0" t="n">
        <v>4</v>
      </c>
      <c r="E1" s="0" t="n">
        <v>5</v>
      </c>
      <c r="F1" s="0" t="n">
        <v>6</v>
      </c>
      <c r="G1" s="0" t="n">
        <v>7</v>
      </c>
      <c r="H1" s="216" t="n">
        <v>8</v>
      </c>
      <c r="I1" s="216" t="n">
        <v>9</v>
      </c>
      <c r="J1" s="0" t="n">
        <v>10</v>
      </c>
      <c r="K1" s="0" t="n">
        <v>11</v>
      </c>
      <c r="L1" s="216" t="n">
        <v>12</v>
      </c>
      <c r="M1" s="0" t="n">
        <v>13</v>
      </c>
      <c r="N1" s="216" t="n">
        <v>14</v>
      </c>
      <c r="O1" s="0" t="n">
        <v>15</v>
      </c>
      <c r="P1" s="0" t="n">
        <v>16</v>
      </c>
      <c r="Q1" s="0" t="n">
        <v>17</v>
      </c>
      <c r="R1" s="0" t="n">
        <v>18</v>
      </c>
      <c r="S1" s="0" t="n">
        <v>19</v>
      </c>
      <c r="T1" s="0" t="n">
        <v>20</v>
      </c>
      <c r="U1" s="0" t="n">
        <v>21</v>
      </c>
      <c r="V1" s="0" t="n">
        <v>22</v>
      </c>
      <c r="W1" s="0" t="n">
        <v>23</v>
      </c>
    </row>
    <row r="2" customFormat="false" ht="15" hidden="false" customHeight="false" outlineLevel="0" collapsed="false">
      <c r="B2" s="261" t="s">
        <v>95</v>
      </c>
      <c r="C2" s="261" t="s">
        <v>96</v>
      </c>
      <c r="D2" s="261" t="s">
        <v>97</v>
      </c>
      <c r="E2" s="261" t="s">
        <v>98</v>
      </c>
      <c r="F2" s="261" t="s">
        <v>99</v>
      </c>
      <c r="G2" s="261" t="s">
        <v>0</v>
      </c>
      <c r="H2" s="261" t="s">
        <v>100</v>
      </c>
      <c r="I2" s="261" t="s">
        <v>17</v>
      </c>
      <c r="J2" s="261" t="s">
        <v>101</v>
      </c>
      <c r="K2" s="261" t="s">
        <v>102</v>
      </c>
      <c r="L2" s="262" t="s">
        <v>21</v>
      </c>
      <c r="M2" s="261" t="s">
        <v>103</v>
      </c>
      <c r="N2" s="263" t="s">
        <v>104</v>
      </c>
      <c r="O2" s="261" t="s">
        <v>105</v>
      </c>
      <c r="P2" s="261"/>
      <c r="Q2" s="261" t="s">
        <v>106</v>
      </c>
      <c r="R2" s="261" t="s">
        <v>107</v>
      </c>
      <c r="S2" s="261" t="s">
        <v>108</v>
      </c>
      <c r="T2" s="261" t="s">
        <v>109</v>
      </c>
      <c r="U2" s="261" t="s">
        <v>110</v>
      </c>
      <c r="V2" s="261" t="s">
        <v>111</v>
      </c>
      <c r="W2" s="261" t="s">
        <v>112</v>
      </c>
    </row>
    <row r="3" customFormat="false" ht="15" hidden="false" customHeight="false" outlineLevel="0" collapsed="false">
      <c r="A3" s="216" t="str">
        <f aca="false">CONCATENATE(C3," ",H3)</f>
        <v>Завершены работы по НИС </v>
      </c>
      <c r="B3" s="264" t="s">
        <v>113</v>
      </c>
      <c r="C3" s="264" t="s">
        <v>114</v>
      </c>
      <c r="D3" s="264" t="s">
        <v>114</v>
      </c>
      <c r="E3" s="264" t="s">
        <v>3</v>
      </c>
      <c r="F3" s="264" t="s">
        <v>115</v>
      </c>
      <c r="G3" s="264"/>
      <c r="H3" s="264"/>
      <c r="I3" s="264" t="s">
        <v>116</v>
      </c>
      <c r="J3" s="264"/>
      <c r="K3" s="264"/>
      <c r="L3" s="264" t="s">
        <v>117</v>
      </c>
      <c r="M3" s="265" t="s">
        <v>118</v>
      </c>
      <c r="N3" s="264"/>
      <c r="O3" s="264" t="s">
        <v>119</v>
      </c>
      <c r="P3" s="264" t="s">
        <v>119</v>
      </c>
      <c r="Q3" s="264" t="s">
        <v>3</v>
      </c>
      <c r="R3" s="264" t="s">
        <v>119</v>
      </c>
      <c r="S3" s="264" t="s">
        <v>119</v>
      </c>
      <c r="T3" s="264" t="s">
        <v>119</v>
      </c>
      <c r="U3" s="264" t="s">
        <v>119</v>
      </c>
      <c r="V3" s="264" t="s">
        <v>3</v>
      </c>
      <c r="W3" s="264" t="s">
        <v>120</v>
      </c>
    </row>
    <row r="4" customFormat="false" ht="15" hidden="false" customHeight="false" outlineLevel="0" collapsed="false">
      <c r="A4" s="216" t="str">
        <f aca="false">CONCATENATE(C4," ",H4)</f>
        <v>Завершены работы по устройству кровли строений </v>
      </c>
      <c r="B4" s="264" t="s">
        <v>113</v>
      </c>
      <c r="C4" s="264" t="s">
        <v>121</v>
      </c>
      <c r="D4" s="264" t="s">
        <v>121</v>
      </c>
      <c r="E4" s="264" t="s">
        <v>3</v>
      </c>
      <c r="F4" s="264" t="s">
        <v>115</v>
      </c>
      <c r="G4" s="264"/>
      <c r="H4" s="264"/>
      <c r="I4" s="264" t="s">
        <v>116</v>
      </c>
      <c r="J4" s="264"/>
      <c r="K4" s="264"/>
      <c r="L4" s="264" t="s">
        <v>122</v>
      </c>
      <c r="M4" s="265" t="s">
        <v>123</v>
      </c>
      <c r="N4" s="264"/>
      <c r="O4" s="264" t="s">
        <v>119</v>
      </c>
      <c r="P4" s="264" t="s">
        <v>119</v>
      </c>
      <c r="Q4" s="264" t="s">
        <v>3</v>
      </c>
      <c r="R4" s="264" t="s">
        <v>119</v>
      </c>
      <c r="S4" s="264" t="s">
        <v>119</v>
      </c>
      <c r="T4" s="264" t="s">
        <v>119</v>
      </c>
      <c r="U4" s="264" t="s">
        <v>119</v>
      </c>
      <c r="V4" s="264" t="s">
        <v>3</v>
      </c>
      <c r="W4" s="264" t="s">
        <v>120</v>
      </c>
    </row>
    <row r="5" customFormat="false" ht="15" hidden="false" customHeight="false" outlineLevel="0" collapsed="false">
      <c r="A5" s="216" t="str">
        <f aca="false">CONCATENATE(C5," ",H5)</f>
        <v>Завершены работы по фасадам </v>
      </c>
      <c r="B5" s="264" t="s">
        <v>113</v>
      </c>
      <c r="C5" s="264" t="s">
        <v>124</v>
      </c>
      <c r="D5" s="264" t="s">
        <v>124</v>
      </c>
      <c r="E5" s="264" t="s">
        <v>3</v>
      </c>
      <c r="F5" s="264" t="s">
        <v>115</v>
      </c>
      <c r="G5" s="264"/>
      <c r="H5" s="264"/>
      <c r="I5" s="264" t="s">
        <v>116</v>
      </c>
      <c r="J5" s="264"/>
      <c r="K5" s="264"/>
      <c r="L5" s="264" t="s">
        <v>125</v>
      </c>
      <c r="M5" s="265" t="s">
        <v>126</v>
      </c>
      <c r="N5" s="264"/>
      <c r="O5" s="264" t="s">
        <v>119</v>
      </c>
      <c r="P5" s="264" t="s">
        <v>3</v>
      </c>
      <c r="Q5" s="264" t="s">
        <v>3</v>
      </c>
      <c r="R5" s="264" t="s">
        <v>119</v>
      </c>
      <c r="S5" s="264" t="s">
        <v>3</v>
      </c>
      <c r="T5" s="264" t="s">
        <v>119</v>
      </c>
      <c r="U5" s="264" t="s">
        <v>119</v>
      </c>
      <c r="V5" s="264" t="s">
        <v>3</v>
      </c>
      <c r="W5" s="264" t="s">
        <v>120</v>
      </c>
    </row>
    <row r="6" customFormat="false" ht="15" hidden="false" customHeight="false" outlineLevel="0" collapsed="false">
      <c r="A6" s="216" t="str">
        <f aca="false">CONCATENATE(C6," ",H6)</f>
        <v>Завершены комплексные пуско-наладочные испытания для ЗОС </v>
      </c>
      <c r="B6" s="264" t="s">
        <v>113</v>
      </c>
      <c r="C6" s="264" t="s">
        <v>127</v>
      </c>
      <c r="D6" s="264" t="s">
        <v>127</v>
      </c>
      <c r="E6" s="264" t="s">
        <v>3</v>
      </c>
      <c r="F6" s="264" t="s">
        <v>115</v>
      </c>
      <c r="G6" s="264"/>
      <c r="H6" s="264"/>
      <c r="I6" s="264" t="s">
        <v>116</v>
      </c>
      <c r="J6" s="264"/>
      <c r="K6" s="264"/>
      <c r="L6" s="264" t="s">
        <v>128</v>
      </c>
      <c r="M6" s="265" t="s">
        <v>129</v>
      </c>
      <c r="N6" s="264"/>
      <c r="O6" s="264" t="s">
        <v>119</v>
      </c>
      <c r="P6" s="264" t="s">
        <v>3</v>
      </c>
      <c r="Q6" s="264" t="s">
        <v>3</v>
      </c>
      <c r="R6" s="264" t="s">
        <v>119</v>
      </c>
      <c r="S6" s="264" t="s">
        <v>3</v>
      </c>
      <c r="T6" s="264" t="s">
        <v>119</v>
      </c>
      <c r="U6" s="264" t="s">
        <v>119</v>
      </c>
      <c r="V6" s="264" t="s">
        <v>3</v>
      </c>
      <c r="W6" s="264" t="s">
        <v>120</v>
      </c>
    </row>
    <row r="7" customFormat="false" ht="15" hidden="false" customHeight="false" outlineLevel="0" collapsed="false">
      <c r="A7" s="216" t="str">
        <f aca="false">CONCATENATE(C7," ",H7)</f>
        <v>Получено РнВ </v>
      </c>
      <c r="B7" s="264" t="s">
        <v>113</v>
      </c>
      <c r="C7" s="264" t="s">
        <v>130</v>
      </c>
      <c r="D7" s="264" t="s">
        <v>130</v>
      </c>
      <c r="E7" s="264" t="s">
        <v>119</v>
      </c>
      <c r="F7" s="264" t="s">
        <v>115</v>
      </c>
      <c r="G7" s="264"/>
      <c r="H7" s="264"/>
      <c r="I7" s="264" t="s">
        <v>116</v>
      </c>
      <c r="J7" s="264"/>
      <c r="K7" s="264"/>
      <c r="L7" s="264" t="s">
        <v>131</v>
      </c>
      <c r="M7" s="265" t="s">
        <v>132</v>
      </c>
      <c r="N7" s="264"/>
      <c r="O7" s="264" t="s">
        <v>119</v>
      </c>
      <c r="P7" s="264" t="s">
        <v>3</v>
      </c>
      <c r="Q7" s="264" t="s">
        <v>3</v>
      </c>
      <c r="R7" s="264" t="s">
        <v>119</v>
      </c>
      <c r="S7" s="264" t="s">
        <v>3</v>
      </c>
      <c r="T7" s="264" t="s">
        <v>119</v>
      </c>
      <c r="U7" s="264" t="s">
        <v>119</v>
      </c>
      <c r="V7" s="264" t="s">
        <v>3</v>
      </c>
      <c r="W7" s="264" t="s">
        <v>120</v>
      </c>
    </row>
    <row r="8" customFormat="false" ht="15" hidden="false" customHeight="false" outlineLevel="0" collapsed="false">
      <c r="A8" s="216" t="str">
        <f aca="false">CONCATENATE(C8," ",H8)</f>
        <v> </v>
      </c>
      <c r="B8" s="264"/>
      <c r="C8" s="264"/>
      <c r="D8" s="264"/>
      <c r="E8" s="264"/>
      <c r="F8" s="264"/>
      <c r="G8" s="264"/>
      <c r="H8" s="264"/>
      <c r="I8" s="264"/>
      <c r="J8" s="264"/>
      <c r="K8" s="264"/>
      <c r="L8" s="264"/>
      <c r="M8" s="264"/>
      <c r="N8" s="264"/>
      <c r="O8" s="264"/>
      <c r="P8" s="264"/>
      <c r="Q8" s="264"/>
      <c r="R8" s="264"/>
      <c r="S8" s="264"/>
      <c r="T8" s="264"/>
      <c r="U8" s="264"/>
      <c r="V8" s="264"/>
      <c r="W8" s="264"/>
    </row>
    <row r="9" customFormat="false" ht="15" hidden="false" customHeight="false" outlineLevel="0" collapsed="false">
      <c r="A9" s="216" t="str">
        <f aca="false">CONCATENATE(C9," ",H9)</f>
        <v> </v>
      </c>
      <c r="B9" s="264"/>
      <c r="C9" s="264"/>
      <c r="D9" s="264"/>
      <c r="E9" s="264"/>
      <c r="F9" s="264"/>
      <c r="G9" s="264"/>
      <c r="H9" s="264"/>
      <c r="I9" s="264"/>
      <c r="J9" s="264"/>
      <c r="K9" s="264"/>
      <c r="L9" s="264"/>
      <c r="M9" s="264"/>
      <c r="N9" s="264"/>
      <c r="O9" s="264"/>
      <c r="P9" s="264"/>
      <c r="Q9" s="264"/>
      <c r="R9" s="264"/>
      <c r="S9" s="264"/>
      <c r="T9" s="264"/>
      <c r="U9" s="264"/>
      <c r="V9" s="264"/>
      <c r="W9" s="264"/>
    </row>
    <row r="10" customFormat="false" ht="15" hidden="false" customHeight="false" outlineLevel="0" collapsed="false">
      <c r="A10" s="216" t="str">
        <f aca="false">CONCATENATE(C10," ",H10)</f>
        <v> </v>
      </c>
      <c r="B10" s="264"/>
      <c r="C10" s="264"/>
      <c r="D10" s="264"/>
      <c r="E10" s="264"/>
      <c r="F10" s="264"/>
      <c r="G10" s="264"/>
      <c r="H10" s="264"/>
      <c r="I10" s="264"/>
      <c r="J10" s="264"/>
      <c r="K10" s="264"/>
      <c r="L10" s="264"/>
      <c r="M10" s="264"/>
      <c r="N10" s="264"/>
      <c r="O10" s="264"/>
      <c r="P10" s="264"/>
      <c r="Q10" s="264"/>
      <c r="R10" s="264"/>
      <c r="S10" s="264"/>
      <c r="T10" s="264"/>
      <c r="U10" s="264"/>
      <c r="V10" s="264"/>
      <c r="W10" s="264"/>
    </row>
    <row r="11" customFormat="false" ht="15" hidden="false" customHeight="false" outlineLevel="0" collapsed="false">
      <c r="A11" s="216" t="str">
        <f aca="false">CONCATENATE(C11," ",H11)</f>
        <v> </v>
      </c>
      <c r="B11" s="264"/>
      <c r="C11" s="264"/>
      <c r="D11" s="264"/>
      <c r="E11" s="264"/>
      <c r="F11" s="264"/>
      <c r="G11" s="264"/>
      <c r="H11" s="264"/>
      <c r="I11" s="264"/>
      <c r="J11" s="264"/>
      <c r="K11" s="264"/>
      <c r="L11" s="264"/>
      <c r="M11" s="264"/>
      <c r="N11" s="264"/>
      <c r="O11" s="264"/>
      <c r="P11" s="264"/>
      <c r="Q11" s="264"/>
      <c r="R11" s="264"/>
      <c r="S11" s="264"/>
      <c r="T11" s="264"/>
      <c r="U11" s="264"/>
      <c r="V11" s="264"/>
      <c r="W11" s="264"/>
    </row>
    <row r="12" customFormat="false" ht="15" hidden="false" customHeight="false" outlineLevel="0" collapsed="false">
      <c r="A12" s="216" t="str">
        <f aca="false">CONCATENATE(C12," ",H12)</f>
        <v> </v>
      </c>
      <c r="B12" s="264"/>
      <c r="C12" s="264"/>
      <c r="D12" s="264"/>
      <c r="E12" s="264"/>
      <c r="F12" s="264"/>
      <c r="G12" s="264"/>
      <c r="H12" s="264"/>
      <c r="I12" s="264"/>
      <c r="J12" s="264"/>
      <c r="K12" s="264"/>
      <c r="L12" s="264"/>
      <c r="M12" s="264"/>
      <c r="N12" s="264"/>
      <c r="O12" s="264"/>
      <c r="P12" s="264"/>
      <c r="Q12" s="264"/>
      <c r="R12" s="264"/>
      <c r="S12" s="264"/>
      <c r="T12" s="264"/>
      <c r="U12" s="264"/>
      <c r="V12" s="264"/>
      <c r="W12" s="264"/>
    </row>
    <row r="13" customFormat="false" ht="15" hidden="false" customHeight="false" outlineLevel="0" collapsed="false">
      <c r="A13" s="216" t="str">
        <f aca="false">CONCATENATE(C13," ",H13)</f>
        <v> </v>
      </c>
      <c r="B13" s="264"/>
      <c r="C13" s="264"/>
      <c r="D13" s="264"/>
      <c r="E13" s="264"/>
      <c r="F13" s="264"/>
      <c r="G13" s="264"/>
      <c r="H13" s="264"/>
      <c r="I13" s="264"/>
      <c r="J13" s="264"/>
      <c r="K13" s="264"/>
      <c r="L13" s="264"/>
      <c r="M13" s="264"/>
      <c r="N13" s="264"/>
      <c r="O13" s="264"/>
      <c r="P13" s="264"/>
      <c r="Q13" s="264"/>
      <c r="R13" s="264"/>
      <c r="S13" s="264"/>
      <c r="T13" s="264"/>
      <c r="U13" s="264"/>
      <c r="V13" s="264"/>
      <c r="W13" s="264"/>
    </row>
    <row r="14" customFormat="false" ht="15" hidden="false" customHeight="false" outlineLevel="0" collapsed="false">
      <c r="A14" s="216" t="str">
        <f aca="false">CONCATENATE(C14," ",H14)</f>
        <v> </v>
      </c>
    </row>
    <row r="15" customFormat="false" ht="15" hidden="false" customHeight="false" outlineLevel="0" collapsed="false">
      <c r="A15" s="216" t="str">
        <f aca="false">CONCATENATE(C15," ",H15)</f>
        <v> </v>
      </c>
    </row>
    <row r="16" customFormat="false" ht="15" hidden="false" customHeight="false" outlineLevel="0" collapsed="false">
      <c r="A16" s="216" t="str">
        <f aca="false">CONCATENATE(C16," ",H16)</f>
        <v> </v>
      </c>
    </row>
    <row r="17" customFormat="false" ht="15" hidden="false" customHeight="false" outlineLevel="0" collapsed="false">
      <c r="A17" s="216" t="str">
        <f aca="false">CONCATENATE(C17," ",H17)</f>
        <v> </v>
      </c>
    </row>
    <row r="18" customFormat="false" ht="15" hidden="false" customHeight="false" outlineLevel="0" collapsed="false">
      <c r="A18" s="216" t="str">
        <f aca="false">CONCATENATE(C18," ",H18)</f>
        <v> </v>
      </c>
    </row>
    <row r="19" customFormat="false" ht="15" hidden="false" customHeight="false" outlineLevel="0" collapsed="false">
      <c r="A19" s="216" t="str">
        <f aca="false">CONCATENATE(C19," ",H19)</f>
        <v> </v>
      </c>
    </row>
    <row r="20" customFormat="false" ht="15" hidden="false" customHeight="false" outlineLevel="0" collapsed="false">
      <c r="A20" s="216" t="str">
        <f aca="false">CONCATENATE(C20," ",H20)</f>
        <v> </v>
      </c>
    </row>
    <row r="21" customFormat="false" ht="15" hidden="false" customHeight="false" outlineLevel="0" collapsed="false">
      <c r="A21" s="216" t="str">
        <f aca="false">CONCATENATE(C21," ",H21)</f>
        <v> </v>
      </c>
    </row>
    <row r="22" customFormat="false" ht="15" hidden="false" customHeight="false" outlineLevel="0" collapsed="false">
      <c r="A22" s="216" t="str">
        <f aca="false">CONCATENATE(C22," ",H22)</f>
        <v> </v>
      </c>
    </row>
    <row r="23" customFormat="false" ht="15" hidden="false" customHeight="false" outlineLevel="0" collapsed="false">
      <c r="A23" s="216" t="str">
        <f aca="false">CONCATENATE(C23," ",H23)</f>
        <v> </v>
      </c>
    </row>
    <row r="24" customFormat="false" ht="15" hidden="false" customHeight="false" outlineLevel="0" collapsed="false">
      <c r="A24" s="216" t="str">
        <f aca="false">CONCATENATE(C24," ",H24)</f>
        <v> </v>
      </c>
    </row>
    <row r="25" customFormat="false" ht="15" hidden="false" customHeight="false" outlineLevel="0" collapsed="false">
      <c r="A25" s="216" t="str">
        <f aca="false">CONCATENATE(C25," ",H25)</f>
        <v> </v>
      </c>
    </row>
    <row r="26" customFormat="false" ht="15" hidden="false" customHeight="false" outlineLevel="0" collapsed="false">
      <c r="A26" s="216" t="str">
        <f aca="false">CONCATENATE(C26," ",H26)</f>
        <v> </v>
      </c>
    </row>
    <row r="27" customFormat="false" ht="15" hidden="false" customHeight="false" outlineLevel="0" collapsed="false">
      <c r="A27" s="216" t="str">
        <f aca="false">CONCATENATE(C27," ",H27)</f>
        <v> </v>
      </c>
    </row>
    <row r="28" customFormat="false" ht="15" hidden="false" customHeight="false" outlineLevel="0" collapsed="false">
      <c r="A28" s="216" t="str">
        <f aca="false">CONCATENATE(C28," ",H28)</f>
        <v> </v>
      </c>
    </row>
    <row r="29" customFormat="false" ht="15" hidden="false" customHeight="false" outlineLevel="0" collapsed="false">
      <c r="A29" s="216" t="str">
        <f aca="false">CONCATENATE(C29," ",H29)</f>
        <v> </v>
      </c>
    </row>
    <row r="30" customFormat="false" ht="15" hidden="false" customHeight="false" outlineLevel="0" collapsed="false">
      <c r="A30" s="216" t="str">
        <f aca="false">CONCATENATE(C30," ",H30)</f>
        <v> </v>
      </c>
    </row>
    <row r="31" customFormat="false" ht="15" hidden="false" customHeight="false" outlineLevel="0" collapsed="false">
      <c r="A31" s="216" t="str">
        <f aca="false">CONCATENATE(C31," ",H31)</f>
        <v> </v>
      </c>
    </row>
    <row r="32" customFormat="false" ht="15" hidden="false" customHeight="false" outlineLevel="0" collapsed="false">
      <c r="A32" s="216" t="str">
        <f aca="false">CONCATENATE(C32," ",H32)</f>
        <v> </v>
      </c>
    </row>
    <row r="33" customFormat="false" ht="15" hidden="false" customHeight="false" outlineLevel="0" collapsed="false">
      <c r="A33" s="216" t="str">
        <f aca="false">CONCATENATE(C33," ",H33)</f>
        <v> </v>
      </c>
    </row>
    <row r="34" customFormat="false" ht="15" hidden="false" customHeight="false" outlineLevel="0" collapsed="false">
      <c r="A34" s="216" t="str">
        <f aca="false">CONCATENATE(C34," ",H34)</f>
        <v> </v>
      </c>
    </row>
    <row r="35" customFormat="false" ht="15" hidden="false" customHeight="false" outlineLevel="0" collapsed="false">
      <c r="A35" s="216" t="str">
        <f aca="false">CONCATENATE(C35," ",H35)</f>
        <v> </v>
      </c>
    </row>
    <row r="36" customFormat="false" ht="15" hidden="false" customHeight="false" outlineLevel="0" collapsed="false">
      <c r="A36" s="216" t="str">
        <f aca="false">CONCATENATE(C36," ",H36)</f>
        <v> </v>
      </c>
    </row>
    <row r="37" customFormat="false" ht="15" hidden="false" customHeight="false" outlineLevel="0" collapsed="false">
      <c r="A37" s="216" t="str">
        <f aca="false">CONCATENATE(C37," ",H37)</f>
        <v> </v>
      </c>
    </row>
    <row r="38" customFormat="false" ht="15" hidden="false" customHeight="false" outlineLevel="0" collapsed="false">
      <c r="A38" s="216" t="str">
        <f aca="false">CONCATENATE(C38," ",H38)</f>
        <v> </v>
      </c>
    </row>
    <row r="39" customFormat="false" ht="15" hidden="false" customHeight="false" outlineLevel="0" collapsed="false">
      <c r="A39" s="216" t="str">
        <f aca="false">CONCATENATE(C39," ",H39)</f>
        <v> </v>
      </c>
    </row>
    <row r="40" customFormat="false" ht="15" hidden="false" customHeight="false" outlineLevel="0" collapsed="false">
      <c r="A40" s="216" t="str">
        <f aca="false">CONCATENATE(C40," ",H40)</f>
        <v> </v>
      </c>
    </row>
    <row r="41" customFormat="false" ht="15" hidden="false" customHeight="false" outlineLevel="0" collapsed="false">
      <c r="A41" s="216" t="str">
        <f aca="false">CONCATENATE(C41," ",H41)</f>
        <v> </v>
      </c>
    </row>
    <row r="42" customFormat="false" ht="15" hidden="false" customHeight="false" outlineLevel="0" collapsed="false">
      <c r="A42" s="216" t="str">
        <f aca="false">CONCATENATE(C42," ",H42)</f>
        <v> </v>
      </c>
    </row>
    <row r="43" customFormat="false" ht="15" hidden="false" customHeight="false" outlineLevel="0" collapsed="false">
      <c r="A43" s="216" t="str">
        <f aca="false">CONCATENATE(C43," ",H43)</f>
        <v> </v>
      </c>
    </row>
    <row r="44" customFormat="false" ht="15" hidden="false" customHeight="false" outlineLevel="0" collapsed="false">
      <c r="A44" s="216" t="str">
        <f aca="false">CONCATENATE(C44," ",H44)</f>
        <v> </v>
      </c>
    </row>
    <row r="45" customFormat="false" ht="15" hidden="false" customHeight="false" outlineLevel="0" collapsed="false">
      <c r="A45" s="216" t="str">
        <f aca="false">CONCATENATE(C45," ",H45)</f>
        <v> </v>
      </c>
    </row>
    <row r="46" customFormat="false" ht="15" hidden="false" customHeight="false" outlineLevel="0" collapsed="false">
      <c r="A46" s="216" t="str">
        <f aca="false">CONCATENATE(C46," ",H46)</f>
        <v> </v>
      </c>
    </row>
    <row r="47" customFormat="false" ht="15" hidden="false" customHeight="false" outlineLevel="0" collapsed="false">
      <c r="A47" s="216" t="str">
        <f aca="false">CONCATENATE(C47," ",H47)</f>
        <v> </v>
      </c>
    </row>
    <row r="48" customFormat="false" ht="15" hidden="false" customHeight="false" outlineLevel="0" collapsed="false">
      <c r="A48" s="216" t="str">
        <f aca="false">CONCATENATE(C48," ",H48)</f>
        <v> </v>
      </c>
    </row>
    <row r="49" customFormat="false" ht="15" hidden="false" customHeight="false" outlineLevel="0" collapsed="false">
      <c r="A49" s="216" t="str">
        <f aca="false">CONCATENATE(C49," ",H49)</f>
        <v> </v>
      </c>
    </row>
    <row r="50" customFormat="false" ht="15" hidden="false" customHeight="false" outlineLevel="0" collapsed="false">
      <c r="A50" s="216" t="str">
        <f aca="false">CONCATENATE(C50," ",H50)</f>
        <v> </v>
      </c>
    </row>
    <row r="51" customFormat="false" ht="15" hidden="false" customHeight="false" outlineLevel="0" collapsed="false">
      <c r="A51" s="216" t="str">
        <f aca="false">CONCATENATE(C51," ",H51)</f>
        <v> </v>
      </c>
    </row>
    <row r="52" customFormat="false" ht="15" hidden="false" customHeight="false" outlineLevel="0" collapsed="false">
      <c r="A52" s="216" t="str">
        <f aca="false">CONCATENATE(C52," ",H52)</f>
        <v> </v>
      </c>
    </row>
    <row r="53" customFormat="false" ht="15" hidden="false" customHeight="false" outlineLevel="0" collapsed="false">
      <c r="A53" s="216" t="str">
        <f aca="false">CONCATENATE(C53," ",H53)</f>
        <v> </v>
      </c>
    </row>
    <row r="54" customFormat="false" ht="15" hidden="false" customHeight="false" outlineLevel="0" collapsed="false">
      <c r="A54" s="216" t="str">
        <f aca="false">CONCATENATE(C54," ",H54)</f>
        <v> </v>
      </c>
    </row>
    <row r="55" customFormat="false" ht="15" hidden="false" customHeight="false" outlineLevel="0" collapsed="false">
      <c r="A55" s="216" t="str">
        <f aca="false">CONCATENATE(C55," ",H55)</f>
        <v> </v>
      </c>
    </row>
    <row r="56" customFormat="false" ht="15" hidden="false" customHeight="false" outlineLevel="0" collapsed="false">
      <c r="A56" s="216" t="str">
        <f aca="false">CONCATENATE(C56," ",H56)</f>
        <v> </v>
      </c>
    </row>
    <row r="57" customFormat="false" ht="15" hidden="false" customHeight="false" outlineLevel="0" collapsed="false">
      <c r="A57" s="216" t="str">
        <f aca="false">CONCATENATE(C57," ",H57)</f>
        <v> </v>
      </c>
    </row>
    <row r="58" customFormat="false" ht="15" hidden="false" customHeight="false" outlineLevel="0" collapsed="false">
      <c r="A58" s="216" t="str">
        <f aca="false">CONCATENATE(C58," ",H58)</f>
        <v> </v>
      </c>
    </row>
    <row r="59" customFormat="false" ht="15" hidden="false" customHeight="false" outlineLevel="0" collapsed="false">
      <c r="A59" s="216" t="str">
        <f aca="false">CONCATENATE(C59," ",H59)</f>
        <v> </v>
      </c>
    </row>
    <row r="60" customFormat="false" ht="15" hidden="false" customHeight="false" outlineLevel="0" collapsed="false">
      <c r="A60" s="216" t="str">
        <f aca="false">CONCATENATE(C60," ",H60)</f>
        <v> </v>
      </c>
    </row>
    <row r="61" customFormat="false" ht="15" hidden="false" customHeight="false" outlineLevel="0" collapsed="false">
      <c r="A61" s="216" t="str">
        <f aca="false">CONCATENATE(C61," ",H61)</f>
        <v> </v>
      </c>
    </row>
    <row r="62" customFormat="false" ht="15" hidden="false" customHeight="false" outlineLevel="0" collapsed="false">
      <c r="A62" s="216" t="str">
        <f aca="false">CONCATENATE(C62," ",H62)</f>
        <v> </v>
      </c>
    </row>
    <row r="63" customFormat="false" ht="15" hidden="false" customHeight="false" outlineLevel="0" collapsed="false">
      <c r="A63" s="216" t="str">
        <f aca="false">CONCATENATE(C63," ",H63)</f>
        <v> </v>
      </c>
    </row>
    <row r="64" customFormat="false" ht="15" hidden="false" customHeight="false" outlineLevel="0" collapsed="false">
      <c r="A64" s="216" t="str">
        <f aca="false">CONCATENATE(C64," ",H64)</f>
        <v> </v>
      </c>
    </row>
    <row r="65" customFormat="false" ht="15" hidden="false" customHeight="false" outlineLevel="0" collapsed="false">
      <c r="A65" s="216" t="str">
        <f aca="false">CONCATENATE(C65," ",H65)</f>
        <v> </v>
      </c>
    </row>
    <row r="66" customFormat="false" ht="15" hidden="false" customHeight="false" outlineLevel="0" collapsed="false">
      <c r="A66" s="216" t="str">
        <f aca="false">CONCATENATE(C66," ",H66)</f>
        <v> </v>
      </c>
    </row>
    <row r="67" customFormat="false" ht="15" hidden="false" customHeight="false" outlineLevel="0" collapsed="false">
      <c r="A67" s="216" t="str">
        <f aca="false">CONCATENATE(C67," ",H67)</f>
        <v> </v>
      </c>
    </row>
    <row r="68" customFormat="false" ht="15" hidden="false" customHeight="false" outlineLevel="0" collapsed="false">
      <c r="A68" s="216" t="str">
        <f aca="false">CONCATENATE(C68," ",H68)</f>
        <v> </v>
      </c>
    </row>
    <row r="69" customFormat="false" ht="15" hidden="false" customHeight="false" outlineLevel="0" collapsed="false">
      <c r="A69" s="216" t="str">
        <f aca="false">CONCATENATE(C69," ",H69)</f>
        <v> </v>
      </c>
    </row>
    <row r="70" customFormat="false" ht="15" hidden="false" customHeight="false" outlineLevel="0" collapsed="false">
      <c r="A70" s="216" t="str">
        <f aca="false">CONCATENATE(C70," ",H70)</f>
        <v> </v>
      </c>
    </row>
    <row r="71" customFormat="false" ht="15" hidden="false" customHeight="false" outlineLevel="0" collapsed="false">
      <c r="A71" s="216" t="str">
        <f aca="false">CONCATENATE(C71," ",H71)</f>
        <v> </v>
      </c>
    </row>
    <row r="72" customFormat="false" ht="15" hidden="false" customHeight="false" outlineLevel="0" collapsed="false">
      <c r="A72" s="216" t="str">
        <f aca="false">CONCATENATE(C72," ",H72)</f>
        <v> </v>
      </c>
    </row>
    <row r="73" customFormat="false" ht="15" hidden="false" customHeight="false" outlineLevel="0" collapsed="false">
      <c r="A73" s="216" t="str">
        <f aca="false">CONCATENATE(C73," ",H73)</f>
        <v> </v>
      </c>
    </row>
    <row r="74" customFormat="false" ht="15" hidden="false" customHeight="false" outlineLevel="0" collapsed="false">
      <c r="A74" s="216" t="str">
        <f aca="false">CONCATENATE(C74," ",H74)</f>
        <v> </v>
      </c>
    </row>
    <row r="75" customFormat="false" ht="15" hidden="false" customHeight="false" outlineLevel="0" collapsed="false">
      <c r="A75" s="216" t="str">
        <f aca="false">CONCATENATE(C75," ",H75)</f>
        <v> </v>
      </c>
    </row>
    <row r="76" customFormat="false" ht="15" hidden="false" customHeight="false" outlineLevel="0" collapsed="false">
      <c r="A76" s="216" t="str">
        <f aca="false">CONCATENATE(C76," ",H76)</f>
        <v> </v>
      </c>
    </row>
    <row r="77" customFormat="false" ht="15" hidden="false" customHeight="false" outlineLevel="0" collapsed="false">
      <c r="A77" s="216" t="str">
        <f aca="false">CONCATENATE(C77," ",H77)</f>
        <v> </v>
      </c>
    </row>
    <row r="78" customFormat="false" ht="15" hidden="false" customHeight="false" outlineLevel="0" collapsed="false">
      <c r="A78" s="216" t="str">
        <f aca="false">CONCATENATE(C78," ",H78)</f>
        <v> </v>
      </c>
    </row>
    <row r="79" customFormat="false" ht="15" hidden="false" customHeight="false" outlineLevel="0" collapsed="false">
      <c r="A79" s="216" t="str">
        <f aca="false">CONCATENATE(C79," ",H79)</f>
        <v> </v>
      </c>
    </row>
    <row r="80" customFormat="false" ht="15" hidden="false" customHeight="false" outlineLevel="0" collapsed="false">
      <c r="A80" s="216" t="str">
        <f aca="false">CONCATENATE(C80," ",H80)</f>
        <v> </v>
      </c>
    </row>
    <row r="81" customFormat="false" ht="15" hidden="false" customHeight="false" outlineLevel="0" collapsed="false">
      <c r="A81" s="216" t="str">
        <f aca="false">CONCATENATE(C81," ",H81)</f>
        <v> </v>
      </c>
    </row>
    <row r="82" customFormat="false" ht="15" hidden="false" customHeight="false" outlineLevel="0" collapsed="false">
      <c r="A82" s="216" t="str">
        <f aca="false">CONCATENATE(C82," ",H82)</f>
        <v> </v>
      </c>
    </row>
    <row r="83" customFormat="false" ht="15" hidden="false" customHeight="false" outlineLevel="0" collapsed="false">
      <c r="A83" s="216" t="str">
        <f aca="false">CONCATENATE(C83," ",H83)</f>
        <v> </v>
      </c>
    </row>
    <row r="84" customFormat="false" ht="15" hidden="false" customHeight="false" outlineLevel="0" collapsed="false">
      <c r="A84" s="216" t="str">
        <f aca="false">CONCATENATE(C84," ",H84)</f>
        <v> </v>
      </c>
    </row>
    <row r="85" customFormat="false" ht="15" hidden="false" customHeight="false" outlineLevel="0" collapsed="false">
      <c r="A85" s="216" t="str">
        <f aca="false">CONCATENATE(C85," ",H85)</f>
        <v> </v>
      </c>
    </row>
    <row r="86" customFormat="false" ht="15" hidden="false" customHeight="false" outlineLevel="0" collapsed="false">
      <c r="A86" s="216" t="str">
        <f aca="false">CONCATENATE(C86," ",H86)</f>
        <v> </v>
      </c>
    </row>
    <row r="87" customFormat="false" ht="15" hidden="false" customHeight="false" outlineLevel="0" collapsed="false">
      <c r="A87" s="216" t="str">
        <f aca="false">CONCATENATE(C87," ",H87)</f>
        <v> </v>
      </c>
    </row>
    <row r="88" customFormat="false" ht="15" hidden="false" customHeight="false" outlineLevel="0" collapsed="false">
      <c r="A88" s="216" t="str">
        <f aca="false">CONCATENATE(C88," ",H88)</f>
        <v> </v>
      </c>
    </row>
    <row r="89" customFormat="false" ht="15" hidden="false" customHeight="false" outlineLevel="0" collapsed="false">
      <c r="A89" s="216" t="str">
        <f aca="false">CONCATENATE(C89," ",H89)</f>
        <v> </v>
      </c>
    </row>
    <row r="90" customFormat="false" ht="15" hidden="false" customHeight="false" outlineLevel="0" collapsed="false">
      <c r="A90" s="216" t="str">
        <f aca="false">CONCATENATE(C90," ",H90)</f>
        <v> </v>
      </c>
    </row>
    <row r="91" customFormat="false" ht="15" hidden="false" customHeight="false" outlineLevel="0" collapsed="false">
      <c r="A91" s="216" t="str">
        <f aca="false">CONCATENATE(C91," ",H91)</f>
        <v> </v>
      </c>
    </row>
    <row r="92" customFormat="false" ht="15" hidden="false" customHeight="false" outlineLevel="0" collapsed="false">
      <c r="A92" s="216" t="str">
        <f aca="false">CONCATENATE(C92," ",H92)</f>
        <v> </v>
      </c>
    </row>
    <row r="93" customFormat="false" ht="15" hidden="false" customHeight="false" outlineLevel="0" collapsed="false">
      <c r="A93" s="216" t="str">
        <f aca="false">CONCATENATE(C93," ",H93)</f>
        <v> </v>
      </c>
    </row>
    <row r="94" customFormat="false" ht="15" hidden="false" customHeight="false" outlineLevel="0" collapsed="false">
      <c r="A94" s="216" t="str">
        <f aca="false">CONCATENATE(C94," ",H94)</f>
        <v> </v>
      </c>
    </row>
    <row r="95" customFormat="false" ht="15" hidden="false" customHeight="false" outlineLevel="0" collapsed="false">
      <c r="A95" s="216" t="str">
        <f aca="false">CONCATENATE(C95," ",H95)</f>
        <v> </v>
      </c>
    </row>
    <row r="96" customFormat="false" ht="15" hidden="false" customHeight="false" outlineLevel="0" collapsed="false">
      <c r="A96" s="216" t="str">
        <f aca="false">CONCATENATE(C96," ",H96)</f>
        <v> </v>
      </c>
    </row>
    <row r="97" customFormat="false" ht="15" hidden="false" customHeight="false" outlineLevel="0" collapsed="false">
      <c r="A97" s="216" t="str">
        <f aca="false">CONCATENATE(C97," ",H97)</f>
        <v> </v>
      </c>
    </row>
    <row r="98" customFormat="false" ht="15" hidden="false" customHeight="false" outlineLevel="0" collapsed="false">
      <c r="A98" s="216" t="str">
        <f aca="false">CONCATENATE(C98," ",H98)</f>
        <v> </v>
      </c>
    </row>
    <row r="99" customFormat="false" ht="15" hidden="false" customHeight="false" outlineLevel="0" collapsed="false">
      <c r="A99" s="216" t="str">
        <f aca="false">CONCATENATE(C99," ",H99)</f>
        <v> </v>
      </c>
    </row>
    <row r="100" customFormat="false" ht="15" hidden="false" customHeight="false" outlineLevel="0" collapsed="false">
      <c r="A100" s="216" t="str">
        <f aca="false">CONCATENATE(C100," ",H100)</f>
        <v> </v>
      </c>
    </row>
    <row r="101" customFormat="false" ht="15" hidden="false" customHeight="false" outlineLevel="0" collapsed="false">
      <c r="A101" s="216" t="str">
        <f aca="false">CONCATENATE(C101," ",H101)</f>
        <v> </v>
      </c>
    </row>
    <row r="102" customFormat="false" ht="15" hidden="false" customHeight="false" outlineLevel="0" collapsed="false">
      <c r="A102" s="216" t="str">
        <f aca="false">CONCATENATE(C102," ",H102)</f>
        <v> </v>
      </c>
    </row>
    <row r="103" customFormat="false" ht="15" hidden="false" customHeight="false" outlineLevel="0" collapsed="false">
      <c r="A103" s="216" t="str">
        <f aca="false">CONCATENATE(C103," ",H103)</f>
        <v> </v>
      </c>
    </row>
    <row r="104" customFormat="false" ht="15" hidden="false" customHeight="false" outlineLevel="0" collapsed="false">
      <c r="A104" s="216" t="str">
        <f aca="false">CONCATENATE(C104," ",H104)</f>
        <v> </v>
      </c>
    </row>
    <row r="105" customFormat="false" ht="15" hidden="false" customHeight="false" outlineLevel="0" collapsed="false">
      <c r="A105" s="216" t="str">
        <f aca="false">CONCATENATE(C105," ",H105)</f>
        <v> </v>
      </c>
    </row>
    <row r="106" customFormat="false" ht="15" hidden="false" customHeight="false" outlineLevel="0" collapsed="false">
      <c r="A106" s="216" t="str">
        <f aca="false">CONCATENATE(C106," ",H106)</f>
        <v> </v>
      </c>
    </row>
    <row r="107" customFormat="false" ht="15" hidden="false" customHeight="false" outlineLevel="0" collapsed="false">
      <c r="A107" s="216" t="str">
        <f aca="false">CONCATENATE(C107," ",H107)</f>
        <v> </v>
      </c>
    </row>
    <row r="108" customFormat="false" ht="15" hidden="false" customHeight="false" outlineLevel="0" collapsed="false">
      <c r="A108" s="216" t="str">
        <f aca="false">CONCATENATE(C108," ",H108)</f>
        <v> </v>
      </c>
    </row>
    <row r="109" customFormat="false" ht="15" hidden="false" customHeight="false" outlineLevel="0" collapsed="false">
      <c r="A109" s="216" t="str">
        <f aca="false">CONCATENATE(C109," ",H109)</f>
        <v> </v>
      </c>
    </row>
    <row r="110" customFormat="false" ht="15" hidden="false" customHeight="false" outlineLevel="0" collapsed="false">
      <c r="A110" s="216" t="str">
        <f aca="false">CONCATENATE(C110," ",H110)</f>
        <v> </v>
      </c>
    </row>
    <row r="111" customFormat="false" ht="15" hidden="false" customHeight="false" outlineLevel="0" collapsed="false">
      <c r="A111" s="216" t="str">
        <f aca="false">CONCATENATE(C111," ",H111)</f>
        <v> </v>
      </c>
    </row>
    <row r="112" customFormat="false" ht="15" hidden="false" customHeight="false" outlineLevel="0" collapsed="false">
      <c r="A112" s="216" t="str">
        <f aca="false">CONCATENATE(C112," ",H112)</f>
        <v> </v>
      </c>
    </row>
    <row r="113" customFormat="false" ht="15" hidden="false" customHeight="false" outlineLevel="0" collapsed="false">
      <c r="A113" s="216" t="str">
        <f aca="false">CONCATENATE(C113," ",H113)</f>
        <v> </v>
      </c>
    </row>
    <row r="114" customFormat="false" ht="15" hidden="false" customHeight="false" outlineLevel="0" collapsed="false">
      <c r="A114" s="216" t="str">
        <f aca="false">CONCATENATE(C114," ",H114)</f>
        <v> </v>
      </c>
    </row>
    <row r="115" customFormat="false" ht="15" hidden="false" customHeight="false" outlineLevel="0" collapsed="false">
      <c r="A115" s="216" t="str">
        <f aca="false">CONCATENATE(C115," ",H115)</f>
        <v> </v>
      </c>
    </row>
    <row r="116" customFormat="false" ht="15" hidden="false" customHeight="false" outlineLevel="0" collapsed="false">
      <c r="A116" s="216" t="str">
        <f aca="false">CONCATENATE(C116," ",H116)</f>
        <v> </v>
      </c>
    </row>
    <row r="117" customFormat="false" ht="15" hidden="false" customHeight="false" outlineLevel="0" collapsed="false">
      <c r="A117" s="216" t="str">
        <f aca="false">CONCATENATE(C117," ",H117)</f>
        <v> </v>
      </c>
    </row>
    <row r="118" customFormat="false" ht="15" hidden="false" customHeight="false" outlineLevel="0" collapsed="false">
      <c r="A118" s="216" t="str">
        <f aca="false">CONCATENATE(C118," ",H118)</f>
        <v> </v>
      </c>
    </row>
    <row r="119" customFormat="false" ht="15" hidden="false" customHeight="false" outlineLevel="0" collapsed="false">
      <c r="A119" s="216" t="str">
        <f aca="false">CONCATENATE(C119," ",H119)</f>
        <v> </v>
      </c>
    </row>
    <row r="120" customFormat="false" ht="15" hidden="false" customHeight="false" outlineLevel="0" collapsed="false">
      <c r="A120" s="216" t="str">
        <f aca="false">CONCATENATE(C120," ",H120)</f>
        <v> </v>
      </c>
    </row>
    <row r="121" customFormat="false" ht="15" hidden="false" customHeight="false" outlineLevel="0" collapsed="false">
      <c r="A121" s="216" t="str">
        <f aca="false">CONCATENATE(C121," ",H121)</f>
        <v> </v>
      </c>
    </row>
    <row r="122" customFormat="false" ht="15" hidden="false" customHeight="false" outlineLevel="0" collapsed="false">
      <c r="A122" s="216" t="str">
        <f aca="false">CONCATENATE(C122," ",H122)</f>
        <v> </v>
      </c>
    </row>
    <row r="123" customFormat="false" ht="15" hidden="false" customHeight="false" outlineLevel="0" collapsed="false">
      <c r="A123" s="216" t="str">
        <f aca="false">CONCATENATE(C123," ",H123)</f>
        <v> </v>
      </c>
    </row>
    <row r="124" customFormat="false" ht="15" hidden="false" customHeight="false" outlineLevel="0" collapsed="false">
      <c r="A124" s="216" t="str">
        <f aca="false">CONCATENATE(C124," ",H124)</f>
        <v> </v>
      </c>
    </row>
    <row r="125" customFormat="false" ht="15" hidden="false" customHeight="false" outlineLevel="0" collapsed="false">
      <c r="A125" s="216" t="str">
        <f aca="false">CONCATENATE(C125," ",H125)</f>
        <v> </v>
      </c>
    </row>
    <row r="126" customFormat="false" ht="15" hidden="false" customHeight="false" outlineLevel="0" collapsed="false">
      <c r="A126" s="216" t="str">
        <f aca="false">CONCATENATE(C126," ",H126)</f>
        <v> </v>
      </c>
    </row>
    <row r="127" customFormat="false" ht="15" hidden="false" customHeight="false" outlineLevel="0" collapsed="false">
      <c r="A127" s="216" t="str">
        <f aca="false">CONCATENATE(C127," ",H127)</f>
        <v> </v>
      </c>
    </row>
    <row r="128" customFormat="false" ht="15" hidden="false" customHeight="false" outlineLevel="0" collapsed="false">
      <c r="A128" s="216" t="str">
        <f aca="false">CONCATENATE(C128," ",H128)</f>
        <v> </v>
      </c>
    </row>
    <row r="129" customFormat="false" ht="15" hidden="false" customHeight="false" outlineLevel="0" collapsed="false">
      <c r="A129" s="216" t="str">
        <f aca="false">CONCATENATE(C129," ",H129)</f>
        <v> </v>
      </c>
    </row>
    <row r="130" customFormat="false" ht="15" hidden="false" customHeight="false" outlineLevel="0" collapsed="false">
      <c r="A130" s="216" t="str">
        <f aca="false">CONCATENATE(C130," ",H130)</f>
        <v> </v>
      </c>
    </row>
    <row r="131" customFormat="false" ht="15" hidden="false" customHeight="false" outlineLevel="0" collapsed="false">
      <c r="A131" s="216" t="str">
        <f aca="false">CONCATENATE(C131," ",H131)</f>
        <v> </v>
      </c>
    </row>
    <row r="132" customFormat="false" ht="15" hidden="false" customHeight="false" outlineLevel="0" collapsed="false">
      <c r="A132" s="216" t="str">
        <f aca="false">CONCATENATE(C132," ",H132)</f>
        <v> </v>
      </c>
    </row>
    <row r="133" customFormat="false" ht="15" hidden="false" customHeight="false" outlineLevel="0" collapsed="false">
      <c r="A133" s="216" t="str">
        <f aca="false">CONCATENATE(C133," ",H133)</f>
        <v> </v>
      </c>
    </row>
    <row r="134" customFormat="false" ht="15" hidden="false" customHeight="false" outlineLevel="0" collapsed="false">
      <c r="A134" s="216" t="str">
        <f aca="false">CONCATENATE(C134," ",H134)</f>
        <v> </v>
      </c>
    </row>
    <row r="135" customFormat="false" ht="15" hidden="false" customHeight="false" outlineLevel="0" collapsed="false">
      <c r="A135" s="216" t="str">
        <f aca="false">CONCATENATE(C135," ",H135)</f>
        <v> </v>
      </c>
    </row>
    <row r="136" customFormat="false" ht="15" hidden="false" customHeight="false" outlineLevel="0" collapsed="false">
      <c r="A136" s="216" t="str">
        <f aca="false">CONCATENATE(C136," ",H136)</f>
        <v> </v>
      </c>
    </row>
    <row r="137" customFormat="false" ht="15" hidden="false" customHeight="false" outlineLevel="0" collapsed="false">
      <c r="A137" s="216" t="str">
        <f aca="false">CONCATENATE(C137," ",H137)</f>
        <v> </v>
      </c>
    </row>
    <row r="138" customFormat="false" ht="15" hidden="false" customHeight="false" outlineLevel="0" collapsed="false">
      <c r="A138" s="216" t="str">
        <f aca="false">CONCATENATE(C138," ",H138)</f>
        <v> </v>
      </c>
    </row>
    <row r="139" customFormat="false" ht="15" hidden="false" customHeight="false" outlineLevel="0" collapsed="false">
      <c r="A139" s="216" t="str">
        <f aca="false">CONCATENATE(C139," ",H139)</f>
        <v> </v>
      </c>
    </row>
    <row r="140" customFormat="false" ht="15" hidden="false" customHeight="false" outlineLevel="0" collapsed="false">
      <c r="A140" s="216" t="str">
        <f aca="false">CONCATENATE(C140," ",H140)</f>
        <v> </v>
      </c>
    </row>
    <row r="141" customFormat="false" ht="15" hidden="false" customHeight="false" outlineLevel="0" collapsed="false">
      <c r="A141" s="216" t="str">
        <f aca="false">CONCATENATE(C141," ",H141)</f>
        <v> </v>
      </c>
    </row>
    <row r="142" customFormat="false" ht="15" hidden="false" customHeight="false" outlineLevel="0" collapsed="false">
      <c r="A142" s="216" t="str">
        <f aca="false">CONCATENATE(C142," ",H142)</f>
        <v> </v>
      </c>
    </row>
    <row r="143" customFormat="false" ht="15" hidden="false" customHeight="false" outlineLevel="0" collapsed="false">
      <c r="A143" s="216" t="str">
        <f aca="false">CONCATENATE(C143," ",H143)</f>
        <v> </v>
      </c>
    </row>
    <row r="144" customFormat="false" ht="15" hidden="false" customHeight="false" outlineLevel="0" collapsed="false">
      <c r="A144" s="216" t="str">
        <f aca="false">CONCATENATE(C144," ",H144)</f>
        <v> </v>
      </c>
    </row>
    <row r="145" customFormat="false" ht="15" hidden="false" customHeight="false" outlineLevel="0" collapsed="false">
      <c r="A145" s="216" t="str">
        <f aca="false">CONCATENATE(C145," ",H145)</f>
        <v> </v>
      </c>
    </row>
    <row r="146" customFormat="false" ht="15" hidden="false" customHeight="false" outlineLevel="0" collapsed="false">
      <c r="A146" s="216" t="str">
        <f aca="false">CONCATENATE(C146," ",H146)</f>
        <v> </v>
      </c>
    </row>
    <row r="147" customFormat="false" ht="15" hidden="false" customHeight="false" outlineLevel="0" collapsed="false">
      <c r="A147" s="216" t="str">
        <f aca="false">CONCATENATE(C147," ",H147)</f>
        <v> </v>
      </c>
    </row>
    <row r="148" customFormat="false" ht="15" hidden="false" customHeight="false" outlineLevel="0" collapsed="false">
      <c r="A148" s="216" t="str">
        <f aca="false">CONCATENATE(C148," ",H148)</f>
        <v> </v>
      </c>
    </row>
    <row r="149" customFormat="false" ht="15" hidden="false" customHeight="false" outlineLevel="0" collapsed="false">
      <c r="A149" s="216" t="str">
        <f aca="false">CONCATENATE(C149," ",H149)</f>
        <v> </v>
      </c>
    </row>
    <row r="150" customFormat="false" ht="15" hidden="false" customHeight="false" outlineLevel="0" collapsed="false">
      <c r="A150" s="216" t="str">
        <f aca="false">CONCATENATE(C150," ",H150)</f>
        <v> </v>
      </c>
    </row>
    <row r="151" customFormat="false" ht="15" hidden="false" customHeight="false" outlineLevel="0" collapsed="false">
      <c r="A151" s="216" t="str">
        <f aca="false">CONCATENATE(C151," ",H151)</f>
        <v> </v>
      </c>
    </row>
    <row r="152" customFormat="false" ht="15" hidden="false" customHeight="false" outlineLevel="0" collapsed="false">
      <c r="A152" s="216" t="str">
        <f aca="false">CONCATENATE(C152," ",H152)</f>
        <v> </v>
      </c>
    </row>
    <row r="153" customFormat="false" ht="15" hidden="false" customHeight="false" outlineLevel="0" collapsed="false">
      <c r="A153" s="216" t="str">
        <f aca="false">CONCATENATE(C153," ",H153)</f>
        <v> </v>
      </c>
    </row>
    <row r="154" customFormat="false" ht="15" hidden="false" customHeight="false" outlineLevel="0" collapsed="false">
      <c r="A154" s="216" t="str">
        <f aca="false">CONCATENATE(C154," ",H154)</f>
        <v> </v>
      </c>
    </row>
    <row r="155" customFormat="false" ht="15" hidden="false" customHeight="false" outlineLevel="0" collapsed="false">
      <c r="A155" s="216" t="str">
        <f aca="false">CONCATENATE(C155," ",H155)</f>
        <v> </v>
      </c>
    </row>
    <row r="156" customFormat="false" ht="15" hidden="false" customHeight="false" outlineLevel="0" collapsed="false">
      <c r="A156" s="216" t="str">
        <f aca="false">CONCATENATE(C156," ",H156)</f>
        <v> </v>
      </c>
    </row>
    <row r="157" customFormat="false" ht="15" hidden="false" customHeight="false" outlineLevel="0" collapsed="false">
      <c r="A157" s="216" t="str">
        <f aca="false">CONCATENATE(C157," ",H157)</f>
        <v> </v>
      </c>
    </row>
    <row r="158" customFormat="false" ht="15" hidden="false" customHeight="false" outlineLevel="0" collapsed="false">
      <c r="A158" s="216" t="str">
        <f aca="false">CONCATENATE(C158," ",H158)</f>
        <v> </v>
      </c>
    </row>
    <row r="159" customFormat="false" ht="15" hidden="false" customHeight="false" outlineLevel="0" collapsed="false">
      <c r="A159" s="216" t="str">
        <f aca="false">CONCATENATE(C159," ",H159)</f>
        <v> </v>
      </c>
    </row>
    <row r="160" customFormat="false" ht="15" hidden="false" customHeight="false" outlineLevel="0" collapsed="false">
      <c r="A160" s="216" t="str">
        <f aca="false">CONCATENATE(C160," ",H160)</f>
        <v> </v>
      </c>
    </row>
    <row r="161" customFormat="false" ht="15" hidden="false" customHeight="false" outlineLevel="0" collapsed="false">
      <c r="A161" s="216" t="str">
        <f aca="false">CONCATENATE(C161," ",H161)</f>
        <v> </v>
      </c>
    </row>
    <row r="162" customFormat="false" ht="15" hidden="false" customHeight="false" outlineLevel="0" collapsed="false">
      <c r="A162" s="216" t="str">
        <f aca="false">CONCATENATE(C162," ",H162)</f>
        <v> </v>
      </c>
    </row>
    <row r="163" customFormat="false" ht="15" hidden="false" customHeight="false" outlineLevel="0" collapsed="false">
      <c r="A163" s="216" t="str">
        <f aca="false">CONCATENATE(C163," ",H163)</f>
        <v> </v>
      </c>
    </row>
    <row r="164" customFormat="false" ht="15" hidden="false" customHeight="false" outlineLevel="0" collapsed="false">
      <c r="A164" s="216" t="str">
        <f aca="false">CONCATENATE(C164," ",H164)</f>
        <v> </v>
      </c>
    </row>
    <row r="165" customFormat="false" ht="15" hidden="false" customHeight="false" outlineLevel="0" collapsed="false">
      <c r="A165" s="216" t="str">
        <f aca="false">CONCATENATE(C165," ",H165)</f>
        <v> </v>
      </c>
    </row>
    <row r="166" customFormat="false" ht="15" hidden="false" customHeight="false" outlineLevel="0" collapsed="false">
      <c r="A166" s="216" t="str">
        <f aca="false">CONCATENATE(C166," ",H166)</f>
        <v> </v>
      </c>
    </row>
    <row r="167" customFormat="false" ht="15" hidden="false" customHeight="false" outlineLevel="0" collapsed="false">
      <c r="A167" s="216" t="str">
        <f aca="false">CONCATENATE(C167," ",H167)</f>
        <v> </v>
      </c>
    </row>
    <row r="168" customFormat="false" ht="15" hidden="false" customHeight="false" outlineLevel="0" collapsed="false">
      <c r="A168" s="216" t="str">
        <f aca="false">CONCATENATE(C168," ",H168)</f>
        <v> </v>
      </c>
    </row>
    <row r="169" customFormat="false" ht="15" hidden="false" customHeight="false" outlineLevel="0" collapsed="false">
      <c r="A169" s="216" t="str">
        <f aca="false">CONCATENATE(C169," ",H169)</f>
        <v> </v>
      </c>
    </row>
    <row r="170" customFormat="false" ht="15" hidden="false" customHeight="false" outlineLevel="0" collapsed="false">
      <c r="A170" s="216" t="str">
        <f aca="false">CONCATENATE(C170," ",H170)</f>
        <v> </v>
      </c>
    </row>
    <row r="171" customFormat="false" ht="15" hidden="false" customHeight="false" outlineLevel="0" collapsed="false">
      <c r="A171" s="216" t="str">
        <f aca="false">CONCATENATE(C171," ",H171)</f>
        <v> </v>
      </c>
    </row>
    <row r="172" customFormat="false" ht="15" hidden="false" customHeight="false" outlineLevel="0" collapsed="false">
      <c r="A172" s="216" t="str">
        <f aca="false">CONCATENATE(C172," ",H172)</f>
        <v> </v>
      </c>
    </row>
    <row r="173" customFormat="false" ht="15" hidden="false" customHeight="false" outlineLevel="0" collapsed="false">
      <c r="A173" s="216" t="str">
        <f aca="false">CONCATENATE(C173," ",H173)</f>
        <v> </v>
      </c>
    </row>
    <row r="174" customFormat="false" ht="15" hidden="false" customHeight="false" outlineLevel="0" collapsed="false">
      <c r="A174" s="216" t="str">
        <f aca="false">CONCATENATE(C174," ",H174)</f>
        <v> </v>
      </c>
    </row>
    <row r="175" customFormat="false" ht="15" hidden="false" customHeight="false" outlineLevel="0" collapsed="false">
      <c r="A175" s="216" t="str">
        <f aca="false">CONCATENATE(C175," ",H175)</f>
        <v> </v>
      </c>
    </row>
    <row r="176" customFormat="false" ht="15" hidden="false" customHeight="false" outlineLevel="0" collapsed="false">
      <c r="A176" s="216" t="str">
        <f aca="false">CONCATENATE(C176," ",H176)</f>
        <v> </v>
      </c>
    </row>
    <row r="177" customFormat="false" ht="15" hidden="false" customHeight="false" outlineLevel="0" collapsed="false">
      <c r="A177" s="216" t="str">
        <f aca="false">CONCATENATE(C177," ",H177)</f>
        <v> </v>
      </c>
    </row>
    <row r="178" customFormat="false" ht="15" hidden="false" customHeight="false" outlineLevel="0" collapsed="false">
      <c r="A178" s="216" t="str">
        <f aca="false">CONCATENATE(C178," ",H178)</f>
        <v> </v>
      </c>
    </row>
    <row r="179" customFormat="false" ht="15" hidden="false" customHeight="false" outlineLevel="0" collapsed="false">
      <c r="A179" s="216" t="str">
        <f aca="false">CONCATENATE(C179," ",H179)</f>
        <v> </v>
      </c>
    </row>
    <row r="180" customFormat="false" ht="15" hidden="false" customHeight="false" outlineLevel="0" collapsed="false">
      <c r="A180" s="216" t="str">
        <f aca="false">CONCATENATE(C180," ",H180)</f>
        <v> </v>
      </c>
    </row>
    <row r="181" customFormat="false" ht="15" hidden="false" customHeight="false" outlineLevel="0" collapsed="false">
      <c r="A181" s="216" t="str">
        <f aca="false">CONCATENATE(C181," ",H181)</f>
        <v> </v>
      </c>
    </row>
    <row r="182" customFormat="false" ht="15" hidden="false" customHeight="false" outlineLevel="0" collapsed="false">
      <c r="A182" s="216" t="str">
        <f aca="false">CONCATENATE(C182," ",H182)</f>
        <v> </v>
      </c>
    </row>
    <row r="183" customFormat="false" ht="15" hidden="false" customHeight="false" outlineLevel="0" collapsed="false">
      <c r="A183" s="216" t="str">
        <f aca="false">CONCATENATE(C183," ",H183)</f>
        <v> </v>
      </c>
    </row>
    <row r="184" customFormat="false" ht="15" hidden="false" customHeight="false" outlineLevel="0" collapsed="false">
      <c r="A184" s="216" t="str">
        <f aca="false">CONCATENATE(C184," ",H184)</f>
        <v> </v>
      </c>
    </row>
    <row r="185" customFormat="false" ht="15" hidden="false" customHeight="false" outlineLevel="0" collapsed="false">
      <c r="A185" s="216" t="str">
        <f aca="false">CONCATENATE(C185," ",H185)</f>
        <v> </v>
      </c>
    </row>
    <row r="186" customFormat="false" ht="15" hidden="false" customHeight="false" outlineLevel="0" collapsed="false">
      <c r="A186" s="216" t="str">
        <f aca="false">CONCATENATE(C186," ",H186)</f>
        <v> </v>
      </c>
    </row>
    <row r="187" customFormat="false" ht="15" hidden="false" customHeight="false" outlineLevel="0" collapsed="false">
      <c r="A187" s="216" t="str">
        <f aca="false">CONCATENATE(C187," ",H187)</f>
        <v> </v>
      </c>
    </row>
    <row r="188" customFormat="false" ht="15" hidden="false" customHeight="false" outlineLevel="0" collapsed="false">
      <c r="A188" s="216" t="str">
        <f aca="false">CONCATENATE(C188," ",H188)</f>
        <v> </v>
      </c>
    </row>
    <row r="189" customFormat="false" ht="15" hidden="false" customHeight="false" outlineLevel="0" collapsed="false">
      <c r="A189" s="216" t="str">
        <f aca="false">CONCATENATE(C189," ",H189)</f>
        <v> </v>
      </c>
    </row>
    <row r="190" customFormat="false" ht="15" hidden="false" customHeight="false" outlineLevel="0" collapsed="false">
      <c r="A190" s="216" t="str">
        <f aca="false">CONCATENATE(C190," ",H190)</f>
        <v> </v>
      </c>
    </row>
    <row r="191" customFormat="false" ht="15" hidden="false" customHeight="false" outlineLevel="0" collapsed="false">
      <c r="A191" s="216" t="str">
        <f aca="false">CONCATENATE(C191," ",H191)</f>
        <v> </v>
      </c>
    </row>
    <row r="192" customFormat="false" ht="15" hidden="false" customHeight="false" outlineLevel="0" collapsed="false">
      <c r="A192" s="216" t="str">
        <f aca="false">CONCATENATE(C192," ",H192)</f>
        <v> </v>
      </c>
    </row>
    <row r="193" customFormat="false" ht="15" hidden="false" customHeight="false" outlineLevel="0" collapsed="false">
      <c r="A193" s="216" t="str">
        <f aca="false">CONCATENATE(C193," ",H193)</f>
        <v> </v>
      </c>
    </row>
    <row r="194" customFormat="false" ht="15" hidden="false" customHeight="false" outlineLevel="0" collapsed="false">
      <c r="A194" s="216" t="str">
        <f aca="false">CONCATENATE(C194," ",H194)</f>
        <v> </v>
      </c>
    </row>
    <row r="195" customFormat="false" ht="15" hidden="false" customHeight="false" outlineLevel="0" collapsed="false">
      <c r="A195" s="216" t="str">
        <f aca="false">CONCATENATE(C195," ",H195)</f>
        <v> </v>
      </c>
    </row>
    <row r="196" customFormat="false" ht="15" hidden="false" customHeight="false" outlineLevel="0" collapsed="false">
      <c r="A196" s="216" t="str">
        <f aca="false">CONCATENATE(C196," ",H196)</f>
        <v> </v>
      </c>
    </row>
    <row r="197" customFormat="false" ht="15" hidden="false" customHeight="false" outlineLevel="0" collapsed="false">
      <c r="A197" s="216" t="str">
        <f aca="false">CONCATENATE(C197," ",H197)</f>
        <v> </v>
      </c>
    </row>
    <row r="198" customFormat="false" ht="15" hidden="false" customHeight="false" outlineLevel="0" collapsed="false">
      <c r="A198" s="216" t="str">
        <f aca="false">CONCATENATE(C198," ",H198)</f>
        <v> </v>
      </c>
    </row>
    <row r="199" customFormat="false" ht="15" hidden="false" customHeight="false" outlineLevel="0" collapsed="false">
      <c r="A199" s="216" t="str">
        <f aca="false">CONCATENATE(C199," ",H199)</f>
        <v> </v>
      </c>
    </row>
    <row r="200" customFormat="false" ht="15" hidden="false" customHeight="false" outlineLevel="0" collapsed="false">
      <c r="A200" s="216" t="str">
        <f aca="false">CONCATENATE(C200," ",H200)</f>
        <v> </v>
      </c>
    </row>
    <row r="201" customFormat="false" ht="15" hidden="false" customHeight="false" outlineLevel="0" collapsed="false">
      <c r="A201" s="216" t="str">
        <f aca="false">CONCATENATE(C201," ",H201)</f>
        <v> </v>
      </c>
    </row>
    <row r="202" customFormat="false" ht="15" hidden="false" customHeight="false" outlineLevel="0" collapsed="false">
      <c r="A202" s="216" t="str">
        <f aca="false">CONCATENATE(C202," ",H202)</f>
        <v> </v>
      </c>
    </row>
    <row r="203" customFormat="false" ht="15" hidden="false" customHeight="false" outlineLevel="0" collapsed="false">
      <c r="A203" s="216" t="str">
        <f aca="false">CONCATENATE(C203," ",H203)</f>
        <v> </v>
      </c>
    </row>
    <row r="204" customFormat="false" ht="15" hidden="false" customHeight="false" outlineLevel="0" collapsed="false">
      <c r="A204" s="216" t="str">
        <f aca="false">CONCATENATE(C204," ",H204)</f>
        <v> </v>
      </c>
    </row>
    <row r="205" customFormat="false" ht="15" hidden="false" customHeight="false" outlineLevel="0" collapsed="false">
      <c r="A205" s="216" t="str">
        <f aca="false">CONCATENATE(C205," ",H205)</f>
        <v> </v>
      </c>
    </row>
    <row r="206" customFormat="false" ht="15" hidden="false" customHeight="false" outlineLevel="0" collapsed="false">
      <c r="A206" s="216" t="str">
        <f aca="false">CONCATENATE(C206," ",H206)</f>
        <v> </v>
      </c>
    </row>
    <row r="207" customFormat="false" ht="15" hidden="false" customHeight="false" outlineLevel="0" collapsed="false">
      <c r="A207" s="216" t="str">
        <f aca="false">CONCATENATE(C207," ",H207)</f>
        <v> </v>
      </c>
    </row>
    <row r="208" customFormat="false" ht="15" hidden="false" customHeight="false" outlineLevel="0" collapsed="false">
      <c r="A208" s="216" t="str">
        <f aca="false">CONCATENATE(C208," ",H208)</f>
        <v> </v>
      </c>
    </row>
    <row r="209" customFormat="false" ht="15" hidden="false" customHeight="false" outlineLevel="0" collapsed="false">
      <c r="A209" s="216" t="str">
        <f aca="false">CONCATENATE(C209," ",H209)</f>
        <v> </v>
      </c>
    </row>
    <row r="210" customFormat="false" ht="15" hidden="false" customHeight="false" outlineLevel="0" collapsed="false">
      <c r="A210" s="216" t="str">
        <f aca="false">CONCATENATE(C210," ",H210)</f>
        <v> </v>
      </c>
    </row>
    <row r="211" customFormat="false" ht="15" hidden="false" customHeight="false" outlineLevel="0" collapsed="false">
      <c r="A211" s="216" t="str">
        <f aca="false">CONCATENATE(C211," ",H211)</f>
        <v> </v>
      </c>
    </row>
    <row r="212" customFormat="false" ht="15" hidden="false" customHeight="false" outlineLevel="0" collapsed="false">
      <c r="A212" s="216" t="str">
        <f aca="false">CONCATENATE(C212," ",H212)</f>
        <v> </v>
      </c>
    </row>
    <row r="213" customFormat="false" ht="15" hidden="false" customHeight="false" outlineLevel="0" collapsed="false">
      <c r="A213" s="216" t="str">
        <f aca="false">CONCATENATE(C213," ",H213)</f>
        <v> </v>
      </c>
    </row>
    <row r="214" customFormat="false" ht="15" hidden="false" customHeight="false" outlineLevel="0" collapsed="false">
      <c r="A214" s="216" t="str">
        <f aca="false">CONCATENATE(C214," ",H214)</f>
        <v> </v>
      </c>
    </row>
    <row r="215" customFormat="false" ht="15" hidden="false" customHeight="false" outlineLevel="0" collapsed="false">
      <c r="A215" s="216" t="str">
        <f aca="false">CONCATENATE(C215," ",H215)</f>
        <v> </v>
      </c>
    </row>
    <row r="216" customFormat="false" ht="15" hidden="false" customHeight="false" outlineLevel="0" collapsed="false">
      <c r="A216" s="216" t="str">
        <f aca="false">CONCATENATE(C216," ",H216)</f>
        <v> </v>
      </c>
    </row>
    <row r="217" customFormat="false" ht="15" hidden="false" customHeight="false" outlineLevel="0" collapsed="false">
      <c r="A217" s="216" t="str">
        <f aca="false">CONCATENATE(C217," ",H217)</f>
        <v> </v>
      </c>
    </row>
    <row r="218" customFormat="false" ht="15" hidden="false" customHeight="false" outlineLevel="0" collapsed="false">
      <c r="A218" s="216" t="str">
        <f aca="false">CONCATENATE(C218," ",H218)</f>
        <v> </v>
      </c>
    </row>
    <row r="219" customFormat="false" ht="15" hidden="false" customHeight="false" outlineLevel="0" collapsed="false">
      <c r="A219" s="216" t="str">
        <f aca="false">CONCATENATE(C219," ",H219)</f>
        <v> </v>
      </c>
    </row>
    <row r="220" customFormat="false" ht="15" hidden="false" customHeight="false" outlineLevel="0" collapsed="false">
      <c r="A220" s="216" t="str">
        <f aca="false">CONCATENATE(C220," ",H220)</f>
        <v> </v>
      </c>
    </row>
    <row r="221" customFormat="false" ht="15" hidden="false" customHeight="false" outlineLevel="0" collapsed="false">
      <c r="A221" s="216" t="str">
        <f aca="false">CONCATENATE(C221," ",H221)</f>
        <v> </v>
      </c>
    </row>
    <row r="222" customFormat="false" ht="15" hidden="false" customHeight="false" outlineLevel="0" collapsed="false">
      <c r="A222" s="216" t="str">
        <f aca="false">CONCATENATE(C222," ",H222)</f>
        <v> </v>
      </c>
    </row>
    <row r="223" customFormat="false" ht="15" hidden="false" customHeight="false" outlineLevel="0" collapsed="false">
      <c r="A223" s="216" t="str">
        <f aca="false">CONCATENATE(C223," ",H223)</f>
        <v> </v>
      </c>
    </row>
    <row r="224" customFormat="false" ht="15" hidden="false" customHeight="false" outlineLevel="0" collapsed="false">
      <c r="A224" s="216" t="str">
        <f aca="false">CONCATENATE(C224," ",H224)</f>
        <v> </v>
      </c>
    </row>
    <row r="225" customFormat="false" ht="15" hidden="false" customHeight="false" outlineLevel="0" collapsed="false">
      <c r="A225" s="216" t="str">
        <f aca="false">CONCATENATE(C225," ",H225)</f>
        <v> </v>
      </c>
    </row>
    <row r="226" customFormat="false" ht="15" hidden="false" customHeight="false" outlineLevel="0" collapsed="false">
      <c r="A226" s="216" t="str">
        <f aca="false">CONCATENATE(C226," ",H226)</f>
        <v> </v>
      </c>
    </row>
    <row r="227" customFormat="false" ht="15" hidden="false" customHeight="false" outlineLevel="0" collapsed="false">
      <c r="A227" s="216" t="str">
        <f aca="false">CONCATENATE(C227," ",H227)</f>
        <v> </v>
      </c>
    </row>
    <row r="228" customFormat="false" ht="15" hidden="false" customHeight="false" outlineLevel="0" collapsed="false">
      <c r="A228" s="216" t="str">
        <f aca="false">CONCATENATE(C228," ",H228)</f>
        <v> </v>
      </c>
    </row>
    <row r="229" customFormat="false" ht="15" hidden="false" customHeight="false" outlineLevel="0" collapsed="false">
      <c r="A229" s="216" t="str">
        <f aca="false">CONCATENATE(C229," ",H229)</f>
        <v> </v>
      </c>
    </row>
    <row r="230" customFormat="false" ht="15" hidden="false" customHeight="false" outlineLevel="0" collapsed="false">
      <c r="A230" s="216" t="str">
        <f aca="false">CONCATENATE(C230," ",H230)</f>
        <v> </v>
      </c>
    </row>
    <row r="231" customFormat="false" ht="15" hidden="false" customHeight="false" outlineLevel="0" collapsed="false">
      <c r="A231" s="216" t="str">
        <f aca="false">CONCATENATE(C231," ",H231)</f>
        <v> </v>
      </c>
    </row>
    <row r="232" customFormat="false" ht="15" hidden="false" customHeight="false" outlineLevel="0" collapsed="false">
      <c r="A232" s="216" t="str">
        <f aca="false">CONCATENATE(C232," ",H232)</f>
        <v> </v>
      </c>
    </row>
    <row r="233" customFormat="false" ht="15" hidden="false" customHeight="false" outlineLevel="0" collapsed="false">
      <c r="A233" s="216" t="str">
        <f aca="false">CONCATENATE(C233," ",H233)</f>
        <v> </v>
      </c>
    </row>
    <row r="234" customFormat="false" ht="15" hidden="false" customHeight="false" outlineLevel="0" collapsed="false">
      <c r="A234" s="216" t="str">
        <f aca="false">CONCATENATE(C234," ",H234)</f>
        <v> </v>
      </c>
    </row>
    <row r="235" customFormat="false" ht="15" hidden="false" customHeight="false" outlineLevel="0" collapsed="false">
      <c r="A235" s="216" t="str">
        <f aca="false">CONCATENATE(C235," ",H235)</f>
        <v> </v>
      </c>
    </row>
    <row r="236" customFormat="false" ht="15" hidden="false" customHeight="false" outlineLevel="0" collapsed="false">
      <c r="A236" s="216" t="str">
        <f aca="false">CONCATENATE(C236," ",H236)</f>
        <v> </v>
      </c>
    </row>
    <row r="237" customFormat="false" ht="15" hidden="false" customHeight="false" outlineLevel="0" collapsed="false">
      <c r="A237" s="216" t="str">
        <f aca="false">CONCATENATE(C237," ",H237)</f>
        <v> </v>
      </c>
    </row>
    <row r="238" customFormat="false" ht="15" hidden="false" customHeight="false" outlineLevel="0" collapsed="false">
      <c r="A238" s="216" t="str">
        <f aca="false">CONCATENATE(C238," ",H238)</f>
        <v> </v>
      </c>
    </row>
    <row r="239" customFormat="false" ht="15" hidden="false" customHeight="false" outlineLevel="0" collapsed="false">
      <c r="A239" s="216" t="str">
        <f aca="false">CONCATENATE(C239," ",H239)</f>
        <v> </v>
      </c>
    </row>
    <row r="240" customFormat="false" ht="15" hidden="false" customHeight="false" outlineLevel="0" collapsed="false">
      <c r="A240" s="216" t="str">
        <f aca="false">CONCATENATE(C240," ",H240)</f>
        <v> </v>
      </c>
    </row>
    <row r="241" customFormat="false" ht="15" hidden="false" customHeight="false" outlineLevel="0" collapsed="false">
      <c r="A241" s="216" t="str">
        <f aca="false">CONCATENATE(C241," ",H241)</f>
        <v> </v>
      </c>
    </row>
    <row r="242" customFormat="false" ht="15" hidden="false" customHeight="false" outlineLevel="0" collapsed="false">
      <c r="A242" s="216" t="str">
        <f aca="false">CONCATENATE(C242," ",H242)</f>
        <v> </v>
      </c>
    </row>
    <row r="243" customFormat="false" ht="15" hidden="false" customHeight="false" outlineLevel="0" collapsed="false">
      <c r="A243" s="216" t="str">
        <f aca="false">CONCATENATE(C243," ",H243)</f>
        <v> </v>
      </c>
    </row>
    <row r="244" customFormat="false" ht="15" hidden="false" customHeight="false" outlineLevel="0" collapsed="false">
      <c r="A244" s="216" t="str">
        <f aca="false">CONCATENATE(C244," ",H244)</f>
        <v> </v>
      </c>
    </row>
    <row r="245" customFormat="false" ht="15" hidden="false" customHeight="false" outlineLevel="0" collapsed="false">
      <c r="A245" s="216" t="str">
        <f aca="false">CONCATENATE(C245," ",H245)</f>
        <v> </v>
      </c>
    </row>
    <row r="246" customFormat="false" ht="15" hidden="false" customHeight="false" outlineLevel="0" collapsed="false">
      <c r="A246" s="216" t="str">
        <f aca="false">CONCATENATE(C246," ",H246)</f>
        <v> </v>
      </c>
    </row>
    <row r="247" customFormat="false" ht="15" hidden="false" customHeight="false" outlineLevel="0" collapsed="false">
      <c r="A247" s="216" t="str">
        <f aca="false">CONCATENATE(C247," ",H247)</f>
        <v> </v>
      </c>
    </row>
    <row r="248" customFormat="false" ht="15" hidden="false" customHeight="false" outlineLevel="0" collapsed="false">
      <c r="A248" s="216" t="str">
        <f aca="false">CONCATENATE(C248," ",H248)</f>
        <v> </v>
      </c>
    </row>
    <row r="249" customFormat="false" ht="15" hidden="false" customHeight="false" outlineLevel="0" collapsed="false">
      <c r="A249" s="216" t="str">
        <f aca="false">CONCATENATE(C249," ",H249)</f>
        <v> </v>
      </c>
    </row>
    <row r="250" customFormat="false" ht="15" hidden="false" customHeight="false" outlineLevel="0" collapsed="false">
      <c r="A250" s="216" t="str">
        <f aca="false">CONCATENATE(C250," ",H250)</f>
        <v> </v>
      </c>
    </row>
    <row r="251" customFormat="false" ht="15" hidden="false" customHeight="false" outlineLevel="0" collapsed="false">
      <c r="A251" s="216" t="str">
        <f aca="false">CONCATENATE(C251," ",H251)</f>
        <v> </v>
      </c>
    </row>
    <row r="252" customFormat="false" ht="15" hidden="false" customHeight="false" outlineLevel="0" collapsed="false">
      <c r="A252" s="216" t="str">
        <f aca="false">CONCATENATE(C252," ",H252)</f>
        <v> </v>
      </c>
    </row>
    <row r="253" customFormat="false" ht="15" hidden="false" customHeight="false" outlineLevel="0" collapsed="false">
      <c r="A253" s="216" t="str">
        <f aca="false">CONCATENATE(C253," ",H253)</f>
        <v> </v>
      </c>
    </row>
    <row r="254" customFormat="false" ht="15" hidden="false" customHeight="false" outlineLevel="0" collapsed="false">
      <c r="A254" s="216" t="str">
        <f aca="false">CONCATENATE(C254," ",H254)</f>
        <v> </v>
      </c>
    </row>
    <row r="255" customFormat="false" ht="15" hidden="false" customHeight="false" outlineLevel="0" collapsed="false">
      <c r="A255" s="216" t="str">
        <f aca="false">CONCATENATE(C255," ",H255)</f>
        <v> </v>
      </c>
    </row>
    <row r="256" customFormat="false" ht="15" hidden="false" customHeight="false" outlineLevel="0" collapsed="false">
      <c r="A256" s="216" t="str">
        <f aca="false">CONCATENATE(C256," ",H256)</f>
        <v> </v>
      </c>
    </row>
    <row r="257" customFormat="false" ht="15" hidden="false" customHeight="false" outlineLevel="0" collapsed="false">
      <c r="A257" s="216" t="str">
        <f aca="false">CONCATENATE(C257," ",H257)</f>
        <v> </v>
      </c>
    </row>
    <row r="258" customFormat="false" ht="15" hidden="false" customHeight="false" outlineLevel="0" collapsed="false">
      <c r="A258" s="216" t="str">
        <f aca="false">CONCATENATE(C258," ",H258)</f>
        <v> </v>
      </c>
    </row>
    <row r="259" customFormat="false" ht="15" hidden="false" customHeight="false" outlineLevel="0" collapsed="false">
      <c r="A259" s="216" t="str">
        <f aca="false">CONCATENATE(C259," ",H259)</f>
        <v> </v>
      </c>
    </row>
    <row r="260" customFormat="false" ht="15" hidden="false" customHeight="false" outlineLevel="0" collapsed="false">
      <c r="A260" s="216" t="str">
        <f aca="false">CONCATENATE(C260," ",H260)</f>
        <v> </v>
      </c>
    </row>
    <row r="261" customFormat="false" ht="15" hidden="false" customHeight="false" outlineLevel="0" collapsed="false">
      <c r="A261" s="216" t="str">
        <f aca="false">CONCATENATE(C261," ",H261)</f>
        <v> </v>
      </c>
    </row>
    <row r="262" customFormat="false" ht="15" hidden="false" customHeight="false" outlineLevel="0" collapsed="false">
      <c r="A262" s="216" t="str">
        <f aca="false">CONCATENATE(C262," ",H262)</f>
        <v> </v>
      </c>
    </row>
    <row r="263" customFormat="false" ht="15" hidden="false" customHeight="false" outlineLevel="0" collapsed="false">
      <c r="A263" s="216" t="str">
        <f aca="false">CONCATENATE(C263," ",H263)</f>
        <v> </v>
      </c>
    </row>
    <row r="264" customFormat="false" ht="15" hidden="false" customHeight="false" outlineLevel="0" collapsed="false">
      <c r="A264" s="216" t="str">
        <f aca="false">CONCATENATE(C264," ",H264)</f>
        <v> </v>
      </c>
    </row>
    <row r="265" customFormat="false" ht="15" hidden="false" customHeight="false" outlineLevel="0" collapsed="false">
      <c r="A265" s="216" t="str">
        <f aca="false">CONCATENATE(C265," ",H265)</f>
        <v> </v>
      </c>
    </row>
    <row r="266" customFormat="false" ht="15" hidden="false" customHeight="false" outlineLevel="0" collapsed="false">
      <c r="A266" s="216" t="str">
        <f aca="false">CONCATENATE(C266," ",H266)</f>
        <v> </v>
      </c>
    </row>
    <row r="267" customFormat="false" ht="15" hidden="false" customHeight="false" outlineLevel="0" collapsed="false">
      <c r="A267" s="216" t="str">
        <f aca="false">CONCATENATE(C267," ",H267)</f>
        <v> </v>
      </c>
    </row>
    <row r="268" customFormat="false" ht="15" hidden="false" customHeight="false" outlineLevel="0" collapsed="false">
      <c r="A268" s="216" t="str">
        <f aca="false">CONCATENATE(C268," ",H268)</f>
        <v> </v>
      </c>
    </row>
    <row r="269" customFormat="false" ht="15" hidden="false" customHeight="false" outlineLevel="0" collapsed="false">
      <c r="A269" s="216" t="str">
        <f aca="false">CONCATENATE(C269," ",H269)</f>
        <v> </v>
      </c>
    </row>
    <row r="270" customFormat="false" ht="15" hidden="false" customHeight="false" outlineLevel="0" collapsed="false">
      <c r="A270" s="216" t="str">
        <f aca="false">CONCATENATE(C270," ",H270)</f>
        <v> </v>
      </c>
    </row>
    <row r="271" customFormat="false" ht="15" hidden="false" customHeight="false" outlineLevel="0" collapsed="false">
      <c r="A271" s="216" t="str">
        <f aca="false">CONCATENATE(C271," ",H271)</f>
        <v> </v>
      </c>
    </row>
    <row r="272" customFormat="false" ht="15" hidden="false" customHeight="false" outlineLevel="0" collapsed="false">
      <c r="A272" s="216" t="str">
        <f aca="false">CONCATENATE(C272," ",H272)</f>
        <v> </v>
      </c>
    </row>
    <row r="273" customFormat="false" ht="15" hidden="false" customHeight="false" outlineLevel="0" collapsed="false">
      <c r="A273" s="216" t="str">
        <f aca="false">CONCATENATE(C273," ",H273)</f>
        <v> </v>
      </c>
    </row>
    <row r="274" customFormat="false" ht="15" hidden="false" customHeight="false" outlineLevel="0" collapsed="false">
      <c r="A274" s="216" t="str">
        <f aca="false">CONCATENATE(C274," ",H274)</f>
        <v> </v>
      </c>
    </row>
    <row r="275" customFormat="false" ht="15" hidden="false" customHeight="false" outlineLevel="0" collapsed="false">
      <c r="A275" s="216" t="str">
        <f aca="false">CONCATENATE(C275," ",H275)</f>
        <v> </v>
      </c>
    </row>
    <row r="276" customFormat="false" ht="15" hidden="false" customHeight="false" outlineLevel="0" collapsed="false">
      <c r="A276" s="216" t="str">
        <f aca="false">CONCATENATE(C276," ",H276)</f>
        <v> </v>
      </c>
    </row>
    <row r="277" customFormat="false" ht="15" hidden="false" customHeight="false" outlineLevel="0" collapsed="false">
      <c r="A277" s="216" t="str">
        <f aca="false">CONCATENATE(C277," ",H277)</f>
        <v> </v>
      </c>
    </row>
    <row r="278" customFormat="false" ht="15" hidden="false" customHeight="false" outlineLevel="0" collapsed="false">
      <c r="A278" s="216" t="str">
        <f aca="false">CONCATENATE(C278," ",H278)</f>
        <v> </v>
      </c>
    </row>
    <row r="279" customFormat="false" ht="15" hidden="false" customHeight="false" outlineLevel="0" collapsed="false">
      <c r="A279" s="216" t="str">
        <f aca="false">CONCATENATE(C279," ",H279)</f>
        <v> </v>
      </c>
    </row>
    <row r="280" customFormat="false" ht="15" hidden="false" customHeight="false" outlineLevel="0" collapsed="false">
      <c r="A280" s="216" t="str">
        <f aca="false">CONCATENATE(C280," ",H280)</f>
        <v> </v>
      </c>
    </row>
    <row r="281" customFormat="false" ht="15" hidden="false" customHeight="false" outlineLevel="0" collapsed="false">
      <c r="A281" s="216" t="str">
        <f aca="false">CONCATENATE(C281," ",H281)</f>
        <v> </v>
      </c>
    </row>
    <row r="282" customFormat="false" ht="15" hidden="false" customHeight="false" outlineLevel="0" collapsed="false">
      <c r="A282" s="216" t="str">
        <f aca="false">CONCATENATE(C282," ",H282)</f>
        <v> </v>
      </c>
    </row>
    <row r="283" customFormat="false" ht="15" hidden="false" customHeight="false" outlineLevel="0" collapsed="false">
      <c r="A283" s="216" t="str">
        <f aca="false">CONCATENATE(C283," ",H283)</f>
        <v> </v>
      </c>
    </row>
    <row r="284" customFormat="false" ht="15" hidden="false" customHeight="false" outlineLevel="0" collapsed="false">
      <c r="A284" s="216" t="str">
        <f aca="false">CONCATENATE(C284," ",H284)</f>
        <v> </v>
      </c>
    </row>
    <row r="285" customFormat="false" ht="15" hidden="false" customHeight="false" outlineLevel="0" collapsed="false">
      <c r="A285" s="216" t="str">
        <f aca="false">CONCATENATE(C285," ",H285)</f>
        <v> </v>
      </c>
    </row>
    <row r="286" customFormat="false" ht="15" hidden="false" customHeight="false" outlineLevel="0" collapsed="false">
      <c r="A286" s="216" t="str">
        <f aca="false">CONCATENATE(C286," ",H286)</f>
        <v> </v>
      </c>
    </row>
    <row r="287" customFormat="false" ht="15" hidden="false" customHeight="false" outlineLevel="0" collapsed="false">
      <c r="A287" s="216" t="str">
        <f aca="false">CONCATENATE(C287," ",H287)</f>
        <v> </v>
      </c>
    </row>
    <row r="288" customFormat="false" ht="15" hidden="false" customHeight="false" outlineLevel="0" collapsed="false">
      <c r="A288" s="216" t="str">
        <f aca="false">CONCATENATE(C288," ",H288)</f>
        <v> </v>
      </c>
    </row>
    <row r="289" customFormat="false" ht="15" hidden="false" customHeight="false" outlineLevel="0" collapsed="false">
      <c r="A289" s="216" t="str">
        <f aca="false">CONCATENATE(C289," ",H289)</f>
        <v> </v>
      </c>
    </row>
    <row r="290" customFormat="false" ht="15" hidden="false" customHeight="false" outlineLevel="0" collapsed="false">
      <c r="A290" s="216" t="str">
        <f aca="false">CONCATENATE(C290," ",H290)</f>
        <v> </v>
      </c>
    </row>
    <row r="291" customFormat="false" ht="15" hidden="false" customHeight="false" outlineLevel="0" collapsed="false">
      <c r="A291" s="216" t="str">
        <f aca="false">CONCATENATE(C291," ",H291)</f>
        <v> </v>
      </c>
    </row>
    <row r="292" customFormat="false" ht="15" hidden="false" customHeight="false" outlineLevel="0" collapsed="false">
      <c r="A292" s="216" t="str">
        <f aca="false">CONCATENATE(C292," ",H292)</f>
        <v> </v>
      </c>
    </row>
    <row r="293" customFormat="false" ht="15" hidden="false" customHeight="false" outlineLevel="0" collapsed="false">
      <c r="A293" s="216" t="str">
        <f aca="false">CONCATENATE(C293," ",H293)</f>
        <v> </v>
      </c>
    </row>
    <row r="294" customFormat="false" ht="15" hidden="false" customHeight="false" outlineLevel="0" collapsed="false">
      <c r="A294" s="216" t="str">
        <f aca="false">CONCATENATE(C294," ",H294)</f>
        <v> </v>
      </c>
    </row>
    <row r="295" customFormat="false" ht="15" hidden="false" customHeight="false" outlineLevel="0" collapsed="false">
      <c r="A295" s="216" t="str">
        <f aca="false">CONCATENATE(C295," ",H295)</f>
        <v> </v>
      </c>
    </row>
    <row r="296" customFormat="false" ht="15" hidden="false" customHeight="false" outlineLevel="0" collapsed="false">
      <c r="A296" s="216" t="str">
        <f aca="false">CONCATENATE(C296," ",H296)</f>
        <v> </v>
      </c>
    </row>
    <row r="297" customFormat="false" ht="15" hidden="false" customHeight="false" outlineLevel="0" collapsed="false">
      <c r="A297" s="216" t="str">
        <f aca="false">CONCATENATE(C297," ",H297)</f>
        <v> </v>
      </c>
    </row>
    <row r="298" customFormat="false" ht="15" hidden="false" customHeight="false" outlineLevel="0" collapsed="false">
      <c r="A298" s="216" t="str">
        <f aca="false">CONCATENATE(C298," ",H298)</f>
        <v> </v>
      </c>
    </row>
    <row r="299" customFormat="false" ht="15" hidden="false" customHeight="false" outlineLevel="0" collapsed="false">
      <c r="A299" s="216" t="str">
        <f aca="false">CONCATENATE(C299," ",H299)</f>
        <v> </v>
      </c>
    </row>
    <row r="300" customFormat="false" ht="15" hidden="false" customHeight="false" outlineLevel="0" collapsed="false">
      <c r="A300" s="216" t="str">
        <f aca="false">CONCATENATE(C300," ",H300)</f>
        <v> </v>
      </c>
    </row>
    <row r="301" customFormat="false" ht="15" hidden="false" customHeight="false" outlineLevel="0" collapsed="false">
      <c r="A301" s="216" t="str">
        <f aca="false">CONCATENATE(C301," ",H301)</f>
        <v> </v>
      </c>
    </row>
    <row r="302" customFormat="false" ht="15" hidden="false" customHeight="false" outlineLevel="0" collapsed="false">
      <c r="A302" s="216" t="str">
        <f aca="false">CONCATENATE(C302," ",H302)</f>
        <v> </v>
      </c>
    </row>
    <row r="303" customFormat="false" ht="15" hidden="false" customHeight="false" outlineLevel="0" collapsed="false">
      <c r="A303" s="216" t="str">
        <f aca="false">CONCATENATE(C303," ",H303)</f>
        <v> </v>
      </c>
    </row>
    <row r="304" customFormat="false" ht="15" hidden="false" customHeight="false" outlineLevel="0" collapsed="false">
      <c r="A304" s="216" t="str">
        <f aca="false">CONCATENATE(C304," ",H304)</f>
        <v> </v>
      </c>
    </row>
    <row r="305" customFormat="false" ht="15" hidden="false" customHeight="false" outlineLevel="0" collapsed="false">
      <c r="A305" s="216" t="str">
        <f aca="false">CONCATENATE(C305," ",H305)</f>
        <v> </v>
      </c>
    </row>
    <row r="306" customFormat="false" ht="15" hidden="false" customHeight="false" outlineLevel="0" collapsed="false">
      <c r="A306" s="216" t="str">
        <f aca="false">CONCATENATE(C306," ",H306)</f>
        <v> </v>
      </c>
    </row>
    <row r="307" customFormat="false" ht="15" hidden="false" customHeight="false" outlineLevel="0" collapsed="false">
      <c r="A307" s="216" t="str">
        <f aca="false">CONCATENATE(C307," ",H307)</f>
        <v> </v>
      </c>
    </row>
    <row r="308" customFormat="false" ht="15" hidden="false" customHeight="false" outlineLevel="0" collapsed="false">
      <c r="A308" s="216" t="str">
        <f aca="false">CONCATENATE(C308," ",H308)</f>
        <v> </v>
      </c>
    </row>
    <row r="309" customFormat="false" ht="15" hidden="false" customHeight="false" outlineLevel="0" collapsed="false">
      <c r="A309" s="216" t="str">
        <f aca="false">CONCATENATE(C309," ",H309)</f>
        <v> </v>
      </c>
    </row>
    <row r="310" customFormat="false" ht="15" hidden="false" customHeight="false" outlineLevel="0" collapsed="false">
      <c r="A310" s="216" t="str">
        <f aca="false">CONCATENATE(C310," ",H310)</f>
        <v> </v>
      </c>
    </row>
    <row r="311" customFormat="false" ht="15" hidden="false" customHeight="false" outlineLevel="0" collapsed="false">
      <c r="A311" s="216" t="str">
        <f aca="false">CONCATENATE(C311," ",H311)</f>
        <v> </v>
      </c>
    </row>
    <row r="312" customFormat="false" ht="15" hidden="false" customHeight="false" outlineLevel="0" collapsed="false">
      <c r="A312" s="216" t="str">
        <f aca="false">CONCATENATE(C312," ",H312)</f>
        <v> </v>
      </c>
    </row>
    <row r="313" customFormat="false" ht="15" hidden="false" customHeight="false" outlineLevel="0" collapsed="false">
      <c r="A313" s="216" t="str">
        <f aca="false">CONCATENATE(C313," ",H313)</f>
        <v> </v>
      </c>
    </row>
    <row r="314" customFormat="false" ht="15" hidden="false" customHeight="false" outlineLevel="0" collapsed="false">
      <c r="A314" s="216" t="str">
        <f aca="false">CONCATENATE(C314," ",H314)</f>
        <v> </v>
      </c>
    </row>
    <row r="315" customFormat="false" ht="15" hidden="false" customHeight="false" outlineLevel="0" collapsed="false">
      <c r="A315" s="216" t="str">
        <f aca="false">CONCATENATE(C315," ",H315)</f>
        <v> </v>
      </c>
    </row>
    <row r="316" customFormat="false" ht="15" hidden="false" customHeight="false" outlineLevel="0" collapsed="false">
      <c r="A316" s="216" t="str">
        <f aca="false">CONCATENATE(C316," ",H316)</f>
        <v> </v>
      </c>
    </row>
    <row r="317" customFormat="false" ht="15" hidden="false" customHeight="false" outlineLevel="0" collapsed="false">
      <c r="A317" s="216" t="str">
        <f aca="false">CONCATENATE(C317," ",H317)</f>
        <v> </v>
      </c>
    </row>
    <row r="318" customFormat="false" ht="15" hidden="false" customHeight="false" outlineLevel="0" collapsed="false">
      <c r="A318" s="216" t="str">
        <f aca="false">CONCATENATE(C318," ",H318)</f>
        <v> </v>
      </c>
    </row>
    <row r="319" customFormat="false" ht="15" hidden="false" customHeight="false" outlineLevel="0" collapsed="false">
      <c r="A319" s="216" t="str">
        <f aca="false">CONCATENATE(C319," ",H319)</f>
        <v> </v>
      </c>
    </row>
    <row r="320" customFormat="false" ht="15" hidden="false" customHeight="false" outlineLevel="0" collapsed="false">
      <c r="A320" s="216" t="str">
        <f aca="false">CONCATENATE(C320," ",H320)</f>
        <v> </v>
      </c>
    </row>
    <row r="321" customFormat="false" ht="15" hidden="false" customHeight="false" outlineLevel="0" collapsed="false">
      <c r="A321" s="216" t="str">
        <f aca="false">CONCATENATE(C321," ",H321)</f>
        <v> </v>
      </c>
    </row>
    <row r="322" customFormat="false" ht="15" hidden="false" customHeight="false" outlineLevel="0" collapsed="false">
      <c r="A322" s="216" t="str">
        <f aca="false">CONCATENATE(C322," ",H322)</f>
        <v> </v>
      </c>
    </row>
    <row r="323" customFormat="false" ht="15" hidden="false" customHeight="false" outlineLevel="0" collapsed="false">
      <c r="A323" s="216" t="str">
        <f aca="false">CONCATENATE(C323," ",H323)</f>
        <v> </v>
      </c>
    </row>
    <row r="324" customFormat="false" ht="15" hidden="false" customHeight="false" outlineLevel="0" collapsed="false">
      <c r="A324" s="216" t="str">
        <f aca="false">CONCATENATE(C324," ",H324)</f>
        <v> </v>
      </c>
    </row>
    <row r="325" customFormat="false" ht="15" hidden="false" customHeight="false" outlineLevel="0" collapsed="false">
      <c r="A325" s="216" t="str">
        <f aca="false">CONCATENATE(C325," ",H325)</f>
        <v> </v>
      </c>
    </row>
    <row r="326" customFormat="false" ht="15" hidden="false" customHeight="false" outlineLevel="0" collapsed="false">
      <c r="A326" s="216" t="str">
        <f aca="false">CONCATENATE(C326," ",H326)</f>
        <v> </v>
      </c>
    </row>
    <row r="327" customFormat="false" ht="15" hidden="false" customHeight="false" outlineLevel="0" collapsed="false">
      <c r="A327" s="216" t="str">
        <f aca="false">CONCATENATE(C327," ",H327)</f>
        <v> </v>
      </c>
    </row>
    <row r="328" customFormat="false" ht="15" hidden="false" customHeight="false" outlineLevel="0" collapsed="false">
      <c r="A328" s="216" t="str">
        <f aca="false">CONCATENATE(C328," ",H328)</f>
        <v> </v>
      </c>
    </row>
    <row r="329" customFormat="false" ht="15" hidden="false" customHeight="false" outlineLevel="0" collapsed="false">
      <c r="A329" s="216" t="str">
        <f aca="false">CONCATENATE(C329," ",H329)</f>
        <v> </v>
      </c>
    </row>
    <row r="330" customFormat="false" ht="15" hidden="false" customHeight="false" outlineLevel="0" collapsed="false">
      <c r="A330" s="216" t="str">
        <f aca="false">CONCATENATE(C330," ",H330)</f>
        <v> </v>
      </c>
    </row>
    <row r="331" customFormat="false" ht="15" hidden="false" customHeight="false" outlineLevel="0" collapsed="false">
      <c r="A331" s="216" t="str">
        <f aca="false">CONCATENATE(C331," ",H331)</f>
        <v> </v>
      </c>
    </row>
    <row r="332" customFormat="false" ht="15" hidden="false" customHeight="false" outlineLevel="0" collapsed="false">
      <c r="A332" s="216" t="str">
        <f aca="false">CONCATENATE(C332," ",H332)</f>
        <v> </v>
      </c>
    </row>
    <row r="333" customFormat="false" ht="15" hidden="false" customHeight="false" outlineLevel="0" collapsed="false">
      <c r="A333" s="216" t="str">
        <f aca="false">CONCATENATE(C333," ",H333)</f>
        <v> </v>
      </c>
    </row>
    <row r="334" customFormat="false" ht="15" hidden="false" customHeight="false" outlineLevel="0" collapsed="false">
      <c r="A334" s="216" t="str">
        <f aca="false">CONCATENATE(C334," ",H334)</f>
        <v> </v>
      </c>
    </row>
    <row r="335" customFormat="false" ht="15" hidden="false" customHeight="false" outlineLevel="0" collapsed="false">
      <c r="A335" s="216" t="str">
        <f aca="false">CONCATENATE(C335," ",H335)</f>
        <v> </v>
      </c>
    </row>
    <row r="336" customFormat="false" ht="15" hidden="false" customHeight="false" outlineLevel="0" collapsed="false">
      <c r="A336" s="216" t="str">
        <f aca="false">CONCATENATE(C336," ",H336)</f>
        <v> </v>
      </c>
    </row>
    <row r="337" customFormat="false" ht="15" hidden="false" customHeight="false" outlineLevel="0" collapsed="false">
      <c r="A337" s="216" t="str">
        <f aca="false">CONCATENATE(C337," ",H337)</f>
        <v> </v>
      </c>
    </row>
    <row r="338" customFormat="false" ht="15" hidden="false" customHeight="false" outlineLevel="0" collapsed="false">
      <c r="A338" s="216" t="str">
        <f aca="false">CONCATENATE(C338," ",H338)</f>
        <v> </v>
      </c>
    </row>
    <row r="339" customFormat="false" ht="15" hidden="false" customHeight="false" outlineLevel="0" collapsed="false">
      <c r="A339" s="216" t="str">
        <f aca="false">CONCATENATE(C339," ",H339)</f>
        <v> </v>
      </c>
    </row>
    <row r="340" customFormat="false" ht="15" hidden="false" customHeight="false" outlineLevel="0" collapsed="false">
      <c r="A340" s="216" t="str">
        <f aca="false">CONCATENATE(C340," ",H340)</f>
        <v> </v>
      </c>
    </row>
    <row r="341" customFormat="false" ht="15" hidden="false" customHeight="false" outlineLevel="0" collapsed="false">
      <c r="A341" s="216" t="str">
        <f aca="false">CONCATENATE(C341," ",H341)</f>
        <v> </v>
      </c>
    </row>
    <row r="342" customFormat="false" ht="15" hidden="false" customHeight="false" outlineLevel="0" collapsed="false">
      <c r="A342" s="216" t="str">
        <f aca="false">CONCATENATE(C342," ",H342)</f>
        <v> </v>
      </c>
    </row>
    <row r="343" customFormat="false" ht="15" hidden="false" customHeight="false" outlineLevel="0" collapsed="false">
      <c r="A343" s="216" t="str">
        <f aca="false">CONCATENATE(C343," ",H343)</f>
        <v> </v>
      </c>
    </row>
    <row r="344" customFormat="false" ht="15" hidden="false" customHeight="false" outlineLevel="0" collapsed="false">
      <c r="A344" s="216" t="str">
        <f aca="false">CONCATENATE(C344," ",H344)</f>
        <v> </v>
      </c>
    </row>
    <row r="345" customFormat="false" ht="15" hidden="false" customHeight="false" outlineLevel="0" collapsed="false">
      <c r="A345" s="216" t="str">
        <f aca="false">CONCATENATE(C345," ",H345)</f>
        <v> </v>
      </c>
    </row>
    <row r="346" customFormat="false" ht="15" hidden="false" customHeight="false" outlineLevel="0" collapsed="false">
      <c r="A346" s="216" t="str">
        <f aca="false">CONCATENATE(C346," ",H346)</f>
        <v> </v>
      </c>
    </row>
    <row r="347" customFormat="false" ht="15" hidden="false" customHeight="false" outlineLevel="0" collapsed="false">
      <c r="A347" s="216" t="str">
        <f aca="false">CONCATENATE(C347," ",H347)</f>
        <v> </v>
      </c>
    </row>
    <row r="348" customFormat="false" ht="15" hidden="false" customHeight="false" outlineLevel="0" collapsed="false">
      <c r="A348" s="216" t="str">
        <f aca="false">CONCATENATE(C348," ",H348)</f>
        <v> </v>
      </c>
    </row>
    <row r="349" customFormat="false" ht="15" hidden="false" customHeight="false" outlineLevel="0" collapsed="false">
      <c r="A349" s="216" t="str">
        <f aca="false">CONCATENATE(C349," ",H349)</f>
        <v> </v>
      </c>
    </row>
    <row r="350" customFormat="false" ht="15" hidden="false" customHeight="false" outlineLevel="0" collapsed="false">
      <c r="A350" s="216" t="str">
        <f aca="false">CONCATENATE(C350," ",H350)</f>
        <v> </v>
      </c>
    </row>
    <row r="351" customFormat="false" ht="15" hidden="false" customHeight="false" outlineLevel="0" collapsed="false">
      <c r="A351" s="216" t="str">
        <f aca="false">CONCATENATE(C351," ",H351)</f>
        <v> </v>
      </c>
    </row>
    <row r="352" customFormat="false" ht="15" hidden="false" customHeight="false" outlineLevel="0" collapsed="false">
      <c r="A352" s="216" t="str">
        <f aca="false">CONCATENATE(C352," ",H352)</f>
        <v> </v>
      </c>
    </row>
    <row r="353" customFormat="false" ht="15" hidden="false" customHeight="false" outlineLevel="0" collapsed="false">
      <c r="A353" s="216" t="str">
        <f aca="false">CONCATENATE(C353," ",H353)</f>
        <v> </v>
      </c>
    </row>
    <row r="354" customFormat="false" ht="15" hidden="false" customHeight="false" outlineLevel="0" collapsed="false">
      <c r="A354" s="216" t="str">
        <f aca="false">CONCATENATE(C354," ",H354)</f>
        <v> </v>
      </c>
    </row>
    <row r="355" customFormat="false" ht="15" hidden="false" customHeight="false" outlineLevel="0" collapsed="false">
      <c r="A355" s="216" t="str">
        <f aca="false">CONCATENATE(C355," ",H355)</f>
        <v> </v>
      </c>
    </row>
    <row r="356" customFormat="false" ht="15" hidden="false" customHeight="false" outlineLevel="0" collapsed="false">
      <c r="A356" s="216" t="str">
        <f aca="false">CONCATENATE(C356," ",H356)</f>
        <v> </v>
      </c>
    </row>
    <row r="357" customFormat="false" ht="15" hidden="false" customHeight="false" outlineLevel="0" collapsed="false">
      <c r="A357" s="216" t="str">
        <f aca="false">CONCATENATE(C357," ",H357)</f>
        <v> </v>
      </c>
    </row>
    <row r="358" customFormat="false" ht="15" hidden="false" customHeight="false" outlineLevel="0" collapsed="false">
      <c r="A358" s="216" t="str">
        <f aca="false">CONCATENATE(C358," ",H358)</f>
        <v> </v>
      </c>
    </row>
    <row r="359" customFormat="false" ht="15" hidden="false" customHeight="false" outlineLevel="0" collapsed="false">
      <c r="A359" s="216" t="str">
        <f aca="false">CONCATENATE(C359," ",H359)</f>
        <v> </v>
      </c>
    </row>
    <row r="360" customFormat="false" ht="15" hidden="false" customHeight="false" outlineLevel="0" collapsed="false">
      <c r="A360" s="216" t="str">
        <f aca="false">CONCATENATE(C360," ",H360)</f>
        <v> </v>
      </c>
    </row>
    <row r="361" customFormat="false" ht="15" hidden="false" customHeight="false" outlineLevel="0" collapsed="false">
      <c r="A361" s="216" t="str">
        <f aca="false">CONCATENATE(C361," ",H361)</f>
        <v> </v>
      </c>
    </row>
    <row r="362" customFormat="false" ht="15" hidden="false" customHeight="false" outlineLevel="0" collapsed="false">
      <c r="A362" s="216" t="str">
        <f aca="false">CONCATENATE(C362," ",H362)</f>
        <v> </v>
      </c>
    </row>
    <row r="363" customFormat="false" ht="15" hidden="false" customHeight="false" outlineLevel="0" collapsed="false">
      <c r="A363" s="216" t="str">
        <f aca="false">CONCATENATE(C363," ",H363)</f>
        <v> </v>
      </c>
    </row>
    <row r="364" customFormat="false" ht="15" hidden="false" customHeight="false" outlineLevel="0" collapsed="false">
      <c r="A364" s="216" t="str">
        <f aca="false">CONCATENATE(C364," ",H364)</f>
        <v> </v>
      </c>
    </row>
    <row r="365" customFormat="false" ht="15" hidden="false" customHeight="false" outlineLevel="0" collapsed="false">
      <c r="A365" s="216" t="str">
        <f aca="false">CONCATENATE(C365," ",H365)</f>
        <v> </v>
      </c>
    </row>
    <row r="366" customFormat="false" ht="15" hidden="false" customHeight="false" outlineLevel="0" collapsed="false">
      <c r="A366" s="216" t="str">
        <f aca="false">CONCATENATE(C366," ",H366)</f>
        <v> </v>
      </c>
    </row>
    <row r="367" customFormat="false" ht="15" hidden="false" customHeight="false" outlineLevel="0" collapsed="false">
      <c r="A367" s="216" t="str">
        <f aca="false">CONCATENATE(C367," ",H367)</f>
        <v> </v>
      </c>
    </row>
    <row r="368" customFormat="false" ht="15" hidden="false" customHeight="false" outlineLevel="0" collapsed="false">
      <c r="A368" s="216" t="str">
        <f aca="false">CONCATENATE(C368," ",H368)</f>
        <v> </v>
      </c>
    </row>
    <row r="369" customFormat="false" ht="15" hidden="false" customHeight="false" outlineLevel="0" collapsed="false">
      <c r="A369" s="216" t="str">
        <f aca="false">CONCATENATE(C369," ",H369)</f>
        <v> </v>
      </c>
    </row>
    <row r="370" customFormat="false" ht="15" hidden="false" customHeight="false" outlineLevel="0" collapsed="false">
      <c r="A370" s="216" t="str">
        <f aca="false">CONCATENATE(C370," ",H370)</f>
        <v> </v>
      </c>
    </row>
    <row r="371" customFormat="false" ht="15" hidden="false" customHeight="false" outlineLevel="0" collapsed="false">
      <c r="A371" s="216" t="str">
        <f aca="false">CONCATENATE(C371," ",H371)</f>
        <v> </v>
      </c>
    </row>
    <row r="372" customFormat="false" ht="15" hidden="false" customHeight="false" outlineLevel="0" collapsed="false">
      <c r="A372" s="216" t="str">
        <f aca="false">CONCATENATE(C372," ",H372)</f>
        <v> </v>
      </c>
    </row>
    <row r="373" customFormat="false" ht="15" hidden="false" customHeight="false" outlineLevel="0" collapsed="false">
      <c r="A373" s="216" t="str">
        <f aca="false">CONCATENATE(C373," ",H373)</f>
        <v> </v>
      </c>
    </row>
    <row r="374" customFormat="false" ht="15" hidden="false" customHeight="false" outlineLevel="0" collapsed="false">
      <c r="A374" s="216" t="str">
        <f aca="false">CONCATENATE(C374," ",H374)</f>
        <v> </v>
      </c>
    </row>
    <row r="375" customFormat="false" ht="15" hidden="false" customHeight="false" outlineLevel="0" collapsed="false">
      <c r="A375" s="216" t="str">
        <f aca="false">CONCATENATE(C375," ",H375)</f>
        <v> </v>
      </c>
    </row>
    <row r="376" customFormat="false" ht="15" hidden="false" customHeight="false" outlineLevel="0" collapsed="false">
      <c r="A376" s="216" t="str">
        <f aca="false">CONCATENATE(C376," ",H376)</f>
        <v> </v>
      </c>
    </row>
    <row r="377" customFormat="false" ht="15" hidden="false" customHeight="false" outlineLevel="0" collapsed="false">
      <c r="A377" s="216" t="str">
        <f aca="false">CONCATENATE(C377," ",H377)</f>
        <v> </v>
      </c>
    </row>
    <row r="378" customFormat="false" ht="15" hidden="false" customHeight="false" outlineLevel="0" collapsed="false">
      <c r="A378" s="216" t="str">
        <f aca="false">CONCATENATE(C378," ",H378)</f>
        <v> </v>
      </c>
    </row>
    <row r="379" customFormat="false" ht="15" hidden="false" customHeight="false" outlineLevel="0" collapsed="false">
      <c r="A379" s="216" t="str">
        <f aca="false">CONCATENATE(C379," ",H379)</f>
        <v> </v>
      </c>
    </row>
    <row r="380" customFormat="false" ht="15" hidden="false" customHeight="false" outlineLevel="0" collapsed="false">
      <c r="A380" s="216" t="str">
        <f aca="false">CONCATENATE(C380," ",H380)</f>
        <v> </v>
      </c>
    </row>
    <row r="381" customFormat="false" ht="15" hidden="false" customHeight="false" outlineLevel="0" collapsed="false">
      <c r="A381" s="216" t="str">
        <f aca="false">CONCATENATE(C381," ",H381)</f>
        <v> </v>
      </c>
    </row>
    <row r="382" customFormat="false" ht="15" hidden="false" customHeight="false" outlineLevel="0" collapsed="false">
      <c r="A382" s="216" t="str">
        <f aca="false">CONCATENATE(C382," ",H382)</f>
        <v> </v>
      </c>
    </row>
    <row r="383" customFormat="false" ht="15" hidden="false" customHeight="false" outlineLevel="0" collapsed="false">
      <c r="A383" s="216" t="str">
        <f aca="false">CONCATENATE(C383," ",H383)</f>
        <v> </v>
      </c>
    </row>
    <row r="384" customFormat="false" ht="15" hidden="false" customHeight="false" outlineLevel="0" collapsed="false">
      <c r="A384" s="216" t="str">
        <f aca="false">CONCATENATE(C384," ",H384)</f>
        <v> </v>
      </c>
    </row>
    <row r="385" customFormat="false" ht="15" hidden="false" customHeight="false" outlineLevel="0" collapsed="false">
      <c r="A385" s="216" t="str">
        <f aca="false">CONCATENATE(C385," ",H385)</f>
        <v> </v>
      </c>
    </row>
    <row r="386" customFormat="false" ht="15" hidden="false" customHeight="false" outlineLevel="0" collapsed="false">
      <c r="A386" s="216" t="str">
        <f aca="false">CONCATENATE(C386," ",H386)</f>
        <v> </v>
      </c>
    </row>
    <row r="387" customFormat="false" ht="15" hidden="false" customHeight="false" outlineLevel="0" collapsed="false">
      <c r="A387" s="216" t="str">
        <f aca="false">CONCATENATE(C387," ",H387)</f>
        <v> </v>
      </c>
    </row>
    <row r="388" customFormat="false" ht="15" hidden="false" customHeight="false" outlineLevel="0" collapsed="false">
      <c r="A388" s="216" t="str">
        <f aca="false">CONCATENATE(C388," ",H388)</f>
        <v> </v>
      </c>
    </row>
    <row r="389" customFormat="false" ht="15" hidden="false" customHeight="false" outlineLevel="0" collapsed="false">
      <c r="A389" s="216" t="str">
        <f aca="false">CONCATENATE(C389," ",H389)</f>
        <v> </v>
      </c>
    </row>
    <row r="390" customFormat="false" ht="15" hidden="false" customHeight="false" outlineLevel="0" collapsed="false">
      <c r="A390" s="216" t="str">
        <f aca="false">CONCATENATE(C390," ",H390)</f>
        <v> </v>
      </c>
    </row>
    <row r="391" customFormat="false" ht="15" hidden="false" customHeight="false" outlineLevel="0" collapsed="false">
      <c r="A391" s="216" t="str">
        <f aca="false">CONCATENATE(C391," ",H391)</f>
        <v> </v>
      </c>
    </row>
    <row r="392" customFormat="false" ht="15" hidden="false" customHeight="false" outlineLevel="0" collapsed="false">
      <c r="A392" s="216" t="str">
        <f aca="false">CONCATENATE(C392," ",H392)</f>
        <v> </v>
      </c>
    </row>
    <row r="393" customFormat="false" ht="15" hidden="false" customHeight="false" outlineLevel="0" collapsed="false">
      <c r="A393" s="216" t="str">
        <f aca="false">CONCATENATE(C393," ",H393)</f>
        <v> </v>
      </c>
    </row>
    <row r="394" customFormat="false" ht="15" hidden="false" customHeight="false" outlineLevel="0" collapsed="false">
      <c r="A394" s="216" t="str">
        <f aca="false">CONCATENATE(C394," ",H394)</f>
        <v> </v>
      </c>
    </row>
    <row r="395" customFormat="false" ht="15" hidden="false" customHeight="false" outlineLevel="0" collapsed="false">
      <c r="A395" s="216" t="str">
        <f aca="false">CONCATENATE(C395," ",H395)</f>
        <v> </v>
      </c>
    </row>
    <row r="396" customFormat="false" ht="15" hidden="false" customHeight="false" outlineLevel="0" collapsed="false">
      <c r="A396" s="216" t="str">
        <f aca="false">CONCATENATE(C396," ",H396)</f>
        <v> </v>
      </c>
    </row>
    <row r="397" customFormat="false" ht="15" hidden="false" customHeight="false" outlineLevel="0" collapsed="false">
      <c r="A397" s="216" t="str">
        <f aca="false">CONCATENATE(C397," ",H397)</f>
        <v> </v>
      </c>
    </row>
    <row r="398" customFormat="false" ht="15" hidden="false" customHeight="false" outlineLevel="0" collapsed="false">
      <c r="A398" s="216" t="str">
        <f aca="false">CONCATENATE(C398," ",H398)</f>
        <v> </v>
      </c>
    </row>
    <row r="399" customFormat="false" ht="15" hidden="false" customHeight="false" outlineLevel="0" collapsed="false">
      <c r="A399" s="216" t="str">
        <f aca="false">CONCATENATE(C399," ",H399)</f>
        <v> </v>
      </c>
    </row>
    <row r="400" customFormat="false" ht="15" hidden="false" customHeight="false" outlineLevel="0" collapsed="false">
      <c r="A400" s="216" t="str">
        <f aca="false">CONCATENATE(C400," ",H400)</f>
        <v> </v>
      </c>
    </row>
    <row r="401" customFormat="false" ht="15" hidden="false" customHeight="false" outlineLevel="0" collapsed="false">
      <c r="A401" s="216" t="str">
        <f aca="false">CONCATENATE(C401," ",H401)</f>
        <v> </v>
      </c>
    </row>
    <row r="402" customFormat="false" ht="15" hidden="false" customHeight="false" outlineLevel="0" collapsed="false">
      <c r="A402" s="216" t="str">
        <f aca="false">CONCATENATE(C402," ",H402)</f>
        <v> </v>
      </c>
    </row>
    <row r="403" customFormat="false" ht="15" hidden="false" customHeight="false" outlineLevel="0" collapsed="false">
      <c r="A403" s="216" t="str">
        <f aca="false">CONCATENATE(C403," ",H403)</f>
        <v> </v>
      </c>
    </row>
    <row r="404" customFormat="false" ht="15" hidden="false" customHeight="false" outlineLevel="0" collapsed="false">
      <c r="A404" s="216" t="str">
        <f aca="false">CONCATENATE(C404," ",H404)</f>
        <v> </v>
      </c>
    </row>
    <row r="405" customFormat="false" ht="15" hidden="false" customHeight="false" outlineLevel="0" collapsed="false">
      <c r="A405" s="216" t="str">
        <f aca="false">CONCATENATE(C405," ",H405)</f>
        <v> </v>
      </c>
    </row>
    <row r="406" customFormat="false" ht="15" hidden="false" customHeight="false" outlineLevel="0" collapsed="false">
      <c r="A406" s="216" t="str">
        <f aca="false">CONCATENATE(C406," ",H406)</f>
        <v> </v>
      </c>
    </row>
    <row r="407" customFormat="false" ht="15" hidden="false" customHeight="false" outlineLevel="0" collapsed="false">
      <c r="A407" s="216" t="str">
        <f aca="false">CONCATENATE(C407," ",H407)</f>
        <v> </v>
      </c>
    </row>
    <row r="408" customFormat="false" ht="15" hidden="false" customHeight="false" outlineLevel="0" collapsed="false">
      <c r="A408" s="216" t="str">
        <f aca="false">CONCATENATE(C408," ",H408)</f>
        <v> </v>
      </c>
    </row>
    <row r="409" customFormat="false" ht="15" hidden="false" customHeight="false" outlineLevel="0" collapsed="false">
      <c r="A409" s="216" t="str">
        <f aca="false">CONCATENATE(C409," ",H409)</f>
        <v> </v>
      </c>
    </row>
    <row r="410" customFormat="false" ht="15" hidden="false" customHeight="false" outlineLevel="0" collapsed="false">
      <c r="A410" s="216" t="str">
        <f aca="false">CONCATENATE(C410," ",H410)</f>
        <v> </v>
      </c>
    </row>
    <row r="411" customFormat="false" ht="15" hidden="false" customHeight="false" outlineLevel="0" collapsed="false">
      <c r="A411" s="216" t="str">
        <f aca="false">CONCATENATE(C411," ",H411)</f>
        <v> </v>
      </c>
    </row>
    <row r="412" customFormat="false" ht="15" hidden="false" customHeight="false" outlineLevel="0" collapsed="false">
      <c r="A412" s="216" t="str">
        <f aca="false">CONCATENATE(C412," ",H412)</f>
        <v> </v>
      </c>
    </row>
    <row r="413" customFormat="false" ht="15" hidden="false" customHeight="false" outlineLevel="0" collapsed="false">
      <c r="A413" s="216" t="str">
        <f aca="false">CONCATENATE(C413," ",H413)</f>
        <v> </v>
      </c>
    </row>
    <row r="414" customFormat="false" ht="15" hidden="false" customHeight="false" outlineLevel="0" collapsed="false">
      <c r="A414" s="216" t="str">
        <f aca="false">CONCATENATE(C414," ",H414)</f>
        <v> </v>
      </c>
    </row>
    <row r="415" customFormat="false" ht="15" hidden="false" customHeight="false" outlineLevel="0" collapsed="false">
      <c r="A415" s="216" t="str">
        <f aca="false">CONCATENATE(C415," ",H415)</f>
        <v> </v>
      </c>
    </row>
    <row r="416" customFormat="false" ht="15" hidden="false" customHeight="false" outlineLevel="0" collapsed="false">
      <c r="A416" s="216" t="str">
        <f aca="false">CONCATENATE(C416," ",H416)</f>
        <v> </v>
      </c>
    </row>
    <row r="417" customFormat="false" ht="15" hidden="false" customHeight="false" outlineLevel="0" collapsed="false">
      <c r="A417" s="216" t="str">
        <f aca="false">CONCATENATE(C417," ",H417)</f>
        <v> </v>
      </c>
    </row>
    <row r="418" customFormat="false" ht="15" hidden="false" customHeight="false" outlineLevel="0" collapsed="false">
      <c r="A418" s="216" t="str">
        <f aca="false">CONCATENATE(C418," ",H418)</f>
        <v> </v>
      </c>
    </row>
    <row r="419" customFormat="false" ht="15" hidden="false" customHeight="false" outlineLevel="0" collapsed="false">
      <c r="A419" s="216" t="str">
        <f aca="false">CONCATENATE(C419," ",H419)</f>
        <v> </v>
      </c>
    </row>
    <row r="420" customFormat="false" ht="15" hidden="false" customHeight="false" outlineLevel="0" collapsed="false">
      <c r="A420" s="216" t="str">
        <f aca="false">CONCATENATE(C420," ",H420)</f>
        <v> </v>
      </c>
    </row>
    <row r="421" customFormat="false" ht="15" hidden="false" customHeight="false" outlineLevel="0" collapsed="false">
      <c r="A421" s="216" t="str">
        <f aca="false">CONCATENATE(C421," ",H421)</f>
        <v> </v>
      </c>
    </row>
    <row r="422" customFormat="false" ht="15" hidden="false" customHeight="false" outlineLevel="0" collapsed="false">
      <c r="A422" s="216" t="str">
        <f aca="false">CONCATENATE(C422," ",H422)</f>
        <v> </v>
      </c>
    </row>
    <row r="423" customFormat="false" ht="15" hidden="false" customHeight="false" outlineLevel="0" collapsed="false">
      <c r="A423" s="216" t="str">
        <f aca="false">CONCATENATE(C423," ",H423)</f>
        <v> </v>
      </c>
    </row>
    <row r="424" customFormat="false" ht="15" hidden="false" customHeight="false" outlineLevel="0" collapsed="false">
      <c r="A424" s="216" t="str">
        <f aca="false">CONCATENATE(C424," ",H424)</f>
        <v> </v>
      </c>
    </row>
    <row r="425" customFormat="false" ht="15" hidden="false" customHeight="false" outlineLevel="0" collapsed="false">
      <c r="A425" s="216" t="str">
        <f aca="false">CONCATENATE(C425," ",H425)</f>
        <v> </v>
      </c>
    </row>
    <row r="426" customFormat="false" ht="15" hidden="false" customHeight="false" outlineLevel="0" collapsed="false">
      <c r="A426" s="216" t="str">
        <f aca="false">CONCATENATE(C426," ",H426)</f>
        <v> </v>
      </c>
    </row>
    <row r="427" customFormat="false" ht="15" hidden="false" customHeight="false" outlineLevel="0" collapsed="false">
      <c r="A427" s="216" t="str">
        <f aca="false">CONCATENATE(C427," ",H427)</f>
        <v> </v>
      </c>
    </row>
    <row r="428" customFormat="false" ht="15" hidden="false" customHeight="false" outlineLevel="0" collapsed="false">
      <c r="A428" s="216" t="str">
        <f aca="false">CONCATENATE(C428," ",H428)</f>
        <v> </v>
      </c>
    </row>
    <row r="429" customFormat="false" ht="15" hidden="false" customHeight="false" outlineLevel="0" collapsed="false">
      <c r="A429" s="216" t="str">
        <f aca="false">CONCATENATE(C429," ",H429)</f>
        <v> </v>
      </c>
    </row>
    <row r="430" customFormat="false" ht="15" hidden="false" customHeight="false" outlineLevel="0" collapsed="false">
      <c r="A430" s="216" t="str">
        <f aca="false">CONCATENATE(C430," ",H430)</f>
        <v> </v>
      </c>
    </row>
    <row r="431" customFormat="false" ht="15" hidden="false" customHeight="false" outlineLevel="0" collapsed="false">
      <c r="A431" s="216" t="str">
        <f aca="false">CONCATENATE(C431," ",H431)</f>
        <v> </v>
      </c>
    </row>
    <row r="432" customFormat="false" ht="15" hidden="false" customHeight="false" outlineLevel="0" collapsed="false">
      <c r="A432" s="216" t="str">
        <f aca="false">CONCATENATE(C432," ",H432)</f>
        <v> </v>
      </c>
    </row>
    <row r="433" customFormat="false" ht="15" hidden="false" customHeight="false" outlineLevel="0" collapsed="false">
      <c r="A433" s="216" t="str">
        <f aca="false">CONCATENATE(C433," ",H433)</f>
        <v> </v>
      </c>
    </row>
    <row r="434" customFormat="false" ht="15" hidden="false" customHeight="false" outlineLevel="0" collapsed="false">
      <c r="A434" s="216" t="str">
        <f aca="false">CONCATENATE(C434," ",H434)</f>
        <v> </v>
      </c>
    </row>
    <row r="435" customFormat="false" ht="15" hidden="false" customHeight="false" outlineLevel="0" collapsed="false">
      <c r="A435" s="216" t="str">
        <f aca="false">CONCATENATE(C435," ",H435)</f>
        <v> </v>
      </c>
    </row>
    <row r="436" customFormat="false" ht="15" hidden="false" customHeight="false" outlineLevel="0" collapsed="false">
      <c r="A436" s="216" t="str">
        <f aca="false">CONCATENATE(C436," ",H436)</f>
        <v> </v>
      </c>
    </row>
    <row r="437" customFormat="false" ht="15" hidden="false" customHeight="false" outlineLevel="0" collapsed="false">
      <c r="A437" s="216" t="str">
        <f aca="false">CONCATENATE(C437," ",H437)</f>
        <v> </v>
      </c>
    </row>
    <row r="438" customFormat="false" ht="15" hidden="false" customHeight="false" outlineLevel="0" collapsed="false">
      <c r="A438" s="216" t="str">
        <f aca="false">CONCATENATE(C438," ",H438)</f>
        <v> </v>
      </c>
    </row>
    <row r="439" customFormat="false" ht="15" hidden="false" customHeight="false" outlineLevel="0" collapsed="false">
      <c r="A439" s="216" t="str">
        <f aca="false">CONCATENATE(C439," ",H439)</f>
        <v> </v>
      </c>
    </row>
    <row r="440" customFormat="false" ht="15" hidden="false" customHeight="false" outlineLevel="0" collapsed="false">
      <c r="A440" s="216" t="str">
        <f aca="false">CONCATENATE(C440," ",H440)</f>
        <v> </v>
      </c>
    </row>
    <row r="441" customFormat="false" ht="15" hidden="false" customHeight="false" outlineLevel="0" collapsed="false">
      <c r="A441" s="216" t="str">
        <f aca="false">CONCATENATE(C441," ",H441)</f>
        <v> </v>
      </c>
    </row>
    <row r="442" customFormat="false" ht="15" hidden="false" customHeight="false" outlineLevel="0" collapsed="false">
      <c r="A442" s="216" t="str">
        <f aca="false">CONCATENATE(C442," ",H442)</f>
        <v> </v>
      </c>
    </row>
    <row r="443" customFormat="false" ht="15" hidden="false" customHeight="false" outlineLevel="0" collapsed="false">
      <c r="A443" s="216" t="str">
        <f aca="false">CONCATENATE(C443," ",H443)</f>
        <v> </v>
      </c>
    </row>
    <row r="444" customFormat="false" ht="15" hidden="false" customHeight="false" outlineLevel="0" collapsed="false">
      <c r="A444" s="216" t="str">
        <f aca="false">CONCATENATE(C444," ",H444)</f>
        <v> </v>
      </c>
    </row>
    <row r="445" customFormat="false" ht="15" hidden="false" customHeight="false" outlineLevel="0" collapsed="false">
      <c r="A445" s="216" t="str">
        <f aca="false">CONCATENATE(C445," ",H445)</f>
        <v> </v>
      </c>
    </row>
    <row r="446" customFormat="false" ht="15" hidden="false" customHeight="false" outlineLevel="0" collapsed="false">
      <c r="A446" s="216" t="str">
        <f aca="false">CONCATENATE(C446," ",H446)</f>
        <v> </v>
      </c>
    </row>
    <row r="447" customFormat="false" ht="15" hidden="false" customHeight="false" outlineLevel="0" collapsed="false">
      <c r="A447" s="216" t="str">
        <f aca="false">CONCATENATE(C447," ",H447)</f>
        <v> </v>
      </c>
    </row>
    <row r="448" customFormat="false" ht="15" hidden="false" customHeight="false" outlineLevel="0" collapsed="false">
      <c r="A448" s="216" t="str">
        <f aca="false">CONCATENATE(C448," ",H448)</f>
        <v> </v>
      </c>
    </row>
    <row r="449" customFormat="false" ht="15" hidden="false" customHeight="false" outlineLevel="0" collapsed="false">
      <c r="A449" s="216" t="str">
        <f aca="false">CONCATENATE(C449," ",H449)</f>
        <v> </v>
      </c>
    </row>
    <row r="450" customFormat="false" ht="15" hidden="false" customHeight="false" outlineLevel="0" collapsed="false">
      <c r="A450" s="216" t="str">
        <f aca="false">CONCATENATE(C450," ",H450)</f>
        <v> </v>
      </c>
    </row>
    <row r="451" customFormat="false" ht="15" hidden="false" customHeight="false" outlineLevel="0" collapsed="false">
      <c r="A451" s="216" t="str">
        <f aca="false">CONCATENATE(C451," ",H451)</f>
        <v> </v>
      </c>
    </row>
    <row r="452" customFormat="false" ht="15" hidden="false" customHeight="false" outlineLevel="0" collapsed="false">
      <c r="A452" s="216" t="str">
        <f aca="false">CONCATENATE(C452," ",H452)</f>
        <v> </v>
      </c>
    </row>
    <row r="453" customFormat="false" ht="15" hidden="false" customHeight="false" outlineLevel="0" collapsed="false">
      <c r="A453" s="216" t="str">
        <f aca="false">CONCATENATE(C453," ",H453)</f>
        <v> </v>
      </c>
    </row>
    <row r="454" customFormat="false" ht="15" hidden="false" customHeight="false" outlineLevel="0" collapsed="false">
      <c r="A454" s="216" t="str">
        <f aca="false">CONCATENATE(C454," ",H454)</f>
        <v> </v>
      </c>
    </row>
    <row r="455" customFormat="false" ht="15" hidden="false" customHeight="false" outlineLevel="0" collapsed="false">
      <c r="A455" s="216" t="str">
        <f aca="false">CONCATENATE(C455," ",H455)</f>
        <v> </v>
      </c>
    </row>
    <row r="456" customFormat="false" ht="15" hidden="false" customHeight="false" outlineLevel="0" collapsed="false">
      <c r="A456" s="216" t="str">
        <f aca="false">CONCATENATE(C456," ",H456)</f>
        <v> </v>
      </c>
    </row>
    <row r="457" customFormat="false" ht="15" hidden="false" customHeight="false" outlineLevel="0" collapsed="false">
      <c r="A457" s="216" t="str">
        <f aca="false">CONCATENATE(C457," ",H457)</f>
        <v> </v>
      </c>
    </row>
    <row r="458" customFormat="false" ht="15" hidden="false" customHeight="false" outlineLevel="0" collapsed="false">
      <c r="A458" s="216" t="str">
        <f aca="false">CONCATENATE(C458," ",H458)</f>
        <v> </v>
      </c>
    </row>
    <row r="459" customFormat="false" ht="15" hidden="false" customHeight="false" outlineLevel="0" collapsed="false">
      <c r="A459" s="216" t="str">
        <f aca="false">CONCATENATE(C459," ",H459)</f>
        <v> </v>
      </c>
    </row>
    <row r="460" customFormat="false" ht="15" hidden="false" customHeight="false" outlineLevel="0" collapsed="false">
      <c r="A460" s="216" t="str">
        <f aca="false">CONCATENATE(C460," ",H460)</f>
        <v> </v>
      </c>
    </row>
    <row r="461" customFormat="false" ht="15" hidden="false" customHeight="false" outlineLevel="0" collapsed="false">
      <c r="A461" s="216" t="str">
        <f aca="false">CONCATENATE(C461," ",H461)</f>
        <v> </v>
      </c>
    </row>
    <row r="462" customFormat="false" ht="15" hidden="false" customHeight="false" outlineLevel="0" collapsed="false">
      <c r="A462" s="216" t="str">
        <f aca="false">CONCATENATE(C462," ",H462)</f>
        <v> </v>
      </c>
    </row>
    <row r="463" customFormat="false" ht="15" hidden="false" customHeight="false" outlineLevel="0" collapsed="false">
      <c r="A463" s="216" t="str">
        <f aca="false">CONCATENATE(C463," ",H463)</f>
        <v> </v>
      </c>
    </row>
    <row r="464" customFormat="false" ht="15" hidden="false" customHeight="false" outlineLevel="0" collapsed="false">
      <c r="A464" s="216" t="str">
        <f aca="false">CONCATENATE(C464," ",H464)</f>
        <v> </v>
      </c>
    </row>
    <row r="465" customFormat="false" ht="15" hidden="false" customHeight="false" outlineLevel="0" collapsed="false">
      <c r="A465" s="216" t="str">
        <f aca="false">CONCATENATE(C465," ",H465)</f>
        <v> </v>
      </c>
    </row>
    <row r="466" customFormat="false" ht="15" hidden="false" customHeight="false" outlineLevel="0" collapsed="false">
      <c r="A466" s="216" t="str">
        <f aca="false">CONCATENATE(C466," ",H466)</f>
        <v> </v>
      </c>
    </row>
    <row r="467" customFormat="false" ht="15" hidden="false" customHeight="false" outlineLevel="0" collapsed="false">
      <c r="A467" s="216" t="str">
        <f aca="false">CONCATENATE(C467," ",H467)</f>
        <v> </v>
      </c>
    </row>
    <row r="468" customFormat="false" ht="15" hidden="false" customHeight="false" outlineLevel="0" collapsed="false">
      <c r="A468" s="216" t="str">
        <f aca="false">CONCATENATE(C468," ",H468)</f>
        <v> </v>
      </c>
    </row>
    <row r="469" customFormat="false" ht="15" hidden="false" customHeight="false" outlineLevel="0" collapsed="false">
      <c r="A469" s="216" t="str">
        <f aca="false">CONCATENATE(C469," ",H469)</f>
        <v> </v>
      </c>
    </row>
    <row r="470" customFormat="false" ht="15" hidden="false" customHeight="false" outlineLevel="0" collapsed="false">
      <c r="A470" s="216" t="str">
        <f aca="false">CONCATENATE(C470," ",H470)</f>
        <v> </v>
      </c>
    </row>
    <row r="471" customFormat="false" ht="15" hidden="false" customHeight="false" outlineLevel="0" collapsed="false">
      <c r="A471" s="216" t="str">
        <f aca="false">CONCATENATE(C471," ",H471)</f>
        <v> </v>
      </c>
    </row>
    <row r="472" customFormat="false" ht="15" hidden="false" customHeight="false" outlineLevel="0" collapsed="false">
      <c r="A472" s="216" t="str">
        <f aca="false">CONCATENATE(C472," ",H472)</f>
        <v> </v>
      </c>
    </row>
    <row r="473" customFormat="false" ht="15" hidden="false" customHeight="false" outlineLevel="0" collapsed="false">
      <c r="A473" s="216" t="str">
        <f aca="false">CONCATENATE(C473," ",H473)</f>
        <v> </v>
      </c>
    </row>
    <row r="474" customFormat="false" ht="15" hidden="false" customHeight="false" outlineLevel="0" collapsed="false">
      <c r="A474" s="216" t="str">
        <f aca="false">CONCATENATE(C474," ",H474)</f>
        <v> </v>
      </c>
    </row>
    <row r="475" customFormat="false" ht="15" hidden="false" customHeight="false" outlineLevel="0" collapsed="false">
      <c r="A475" s="216" t="str">
        <f aca="false">CONCATENATE(C475," ",H475)</f>
        <v> </v>
      </c>
    </row>
    <row r="476" customFormat="false" ht="15" hidden="false" customHeight="false" outlineLevel="0" collapsed="false">
      <c r="A476" s="216" t="str">
        <f aca="false">CONCATENATE(C476," ",H476)</f>
        <v> </v>
      </c>
    </row>
    <row r="477" customFormat="false" ht="15" hidden="false" customHeight="false" outlineLevel="0" collapsed="false">
      <c r="A477" s="216" t="str">
        <f aca="false">CONCATENATE(C477," ",H477)</f>
        <v> </v>
      </c>
    </row>
    <row r="478" customFormat="false" ht="15" hidden="false" customHeight="false" outlineLevel="0" collapsed="false">
      <c r="A478" s="216" t="str">
        <f aca="false">CONCATENATE(C478," ",H478)</f>
        <v> </v>
      </c>
    </row>
    <row r="479" customFormat="false" ht="15" hidden="false" customHeight="false" outlineLevel="0" collapsed="false">
      <c r="A479" s="216" t="str">
        <f aca="false">CONCATENATE(C479," ",H479)</f>
        <v> </v>
      </c>
    </row>
    <row r="480" customFormat="false" ht="15" hidden="false" customHeight="false" outlineLevel="0" collapsed="false">
      <c r="A480" s="216" t="str">
        <f aca="false">CONCATENATE(C480," ",H480)</f>
        <v> </v>
      </c>
    </row>
    <row r="481" customFormat="false" ht="15" hidden="false" customHeight="false" outlineLevel="0" collapsed="false">
      <c r="A481" s="216" t="str">
        <f aca="false">CONCATENATE(C481," ",H481)</f>
        <v> </v>
      </c>
    </row>
    <row r="482" customFormat="false" ht="15" hidden="false" customHeight="false" outlineLevel="0" collapsed="false">
      <c r="A482" s="216" t="str">
        <f aca="false">CONCATENATE(C482," ",H482)</f>
        <v> </v>
      </c>
    </row>
    <row r="483" customFormat="false" ht="15" hidden="false" customHeight="false" outlineLevel="0" collapsed="false">
      <c r="A483" s="216" t="str">
        <f aca="false">CONCATENATE(C483," ",H483)</f>
        <v> </v>
      </c>
    </row>
    <row r="484" customFormat="false" ht="15" hidden="false" customHeight="false" outlineLevel="0" collapsed="false">
      <c r="A484" s="216" t="str">
        <f aca="false">CONCATENATE(C484," ",H484)</f>
        <v> </v>
      </c>
    </row>
    <row r="485" customFormat="false" ht="15" hidden="false" customHeight="false" outlineLevel="0" collapsed="false">
      <c r="A485" s="216" t="str">
        <f aca="false">CONCATENATE(C485," ",H485)</f>
        <v> </v>
      </c>
    </row>
    <row r="486" customFormat="false" ht="15" hidden="false" customHeight="false" outlineLevel="0" collapsed="false">
      <c r="A486" s="216" t="str">
        <f aca="false">CONCATENATE(C486," ",H486)</f>
        <v> </v>
      </c>
    </row>
    <row r="487" customFormat="false" ht="15" hidden="false" customHeight="false" outlineLevel="0" collapsed="false">
      <c r="A487" s="216" t="str">
        <f aca="false">CONCATENATE(C487," ",H487)</f>
        <v> </v>
      </c>
    </row>
    <row r="488" customFormat="false" ht="15" hidden="false" customHeight="false" outlineLevel="0" collapsed="false">
      <c r="A488" s="216" t="str">
        <f aca="false">CONCATENATE(C488," ",H488)</f>
        <v> </v>
      </c>
    </row>
    <row r="489" customFormat="false" ht="15" hidden="false" customHeight="false" outlineLevel="0" collapsed="false">
      <c r="A489" s="216" t="str">
        <f aca="false">CONCATENATE(C489," ",H489)</f>
        <v> </v>
      </c>
    </row>
    <row r="490" customFormat="false" ht="15" hidden="false" customHeight="false" outlineLevel="0" collapsed="false">
      <c r="A490" s="216" t="str">
        <f aca="false">CONCATENATE(C490," ",H490)</f>
        <v> </v>
      </c>
    </row>
    <row r="491" customFormat="false" ht="15" hidden="false" customHeight="false" outlineLevel="0" collapsed="false">
      <c r="A491" s="216" t="str">
        <f aca="false">CONCATENATE(C491," ",H491)</f>
        <v> </v>
      </c>
    </row>
    <row r="492" customFormat="false" ht="15" hidden="false" customHeight="false" outlineLevel="0" collapsed="false">
      <c r="A492" s="216" t="str">
        <f aca="false">CONCATENATE(C492," ",H492)</f>
        <v> </v>
      </c>
    </row>
    <row r="493" customFormat="false" ht="15" hidden="false" customHeight="false" outlineLevel="0" collapsed="false">
      <c r="A493" s="216" t="str">
        <f aca="false">CONCATENATE(C493," ",H493)</f>
        <v> </v>
      </c>
    </row>
    <row r="494" customFormat="false" ht="15" hidden="false" customHeight="false" outlineLevel="0" collapsed="false">
      <c r="A494" s="216" t="str">
        <f aca="false">CONCATENATE(C494," ",H494)</f>
        <v> </v>
      </c>
    </row>
    <row r="495" customFormat="false" ht="15" hidden="false" customHeight="false" outlineLevel="0" collapsed="false">
      <c r="A495" s="216" t="str">
        <f aca="false">CONCATENATE(C495," ",H495)</f>
        <v> </v>
      </c>
    </row>
    <row r="496" customFormat="false" ht="15" hidden="false" customHeight="false" outlineLevel="0" collapsed="false">
      <c r="A496" s="216" t="str">
        <f aca="false">CONCATENATE(C496," ",H496)</f>
        <v> </v>
      </c>
    </row>
    <row r="497" customFormat="false" ht="15" hidden="false" customHeight="false" outlineLevel="0" collapsed="false">
      <c r="A497" s="216" t="str">
        <f aca="false">CONCATENATE(C497," ",H497)</f>
        <v> </v>
      </c>
    </row>
    <row r="498" customFormat="false" ht="15" hidden="false" customHeight="false" outlineLevel="0" collapsed="false">
      <c r="A498" s="216" t="str">
        <f aca="false">CONCATENATE(C498," ",H498)</f>
        <v> </v>
      </c>
    </row>
    <row r="499" customFormat="false" ht="15" hidden="false" customHeight="false" outlineLevel="0" collapsed="false">
      <c r="A499" s="216" t="str">
        <f aca="false">CONCATENATE(C499," ",H499)</f>
        <v> </v>
      </c>
    </row>
    <row r="500" customFormat="false" ht="15" hidden="false" customHeight="false" outlineLevel="0" collapsed="false">
      <c r="A500" s="216" t="str">
        <f aca="false">CONCATENATE(C500," ",H500)</f>
        <v> </v>
      </c>
    </row>
    <row r="501" customFormat="false" ht="15" hidden="false" customHeight="false" outlineLevel="0" collapsed="false">
      <c r="A501" s="216" t="str">
        <f aca="false">CONCATENATE(C501," ",H501)</f>
        <v> </v>
      </c>
    </row>
    <row r="502" customFormat="false" ht="15" hidden="false" customHeight="false" outlineLevel="0" collapsed="false">
      <c r="A502" s="216" t="str">
        <f aca="false">CONCATENATE(C502," ",H502)</f>
        <v> </v>
      </c>
    </row>
    <row r="503" customFormat="false" ht="15" hidden="false" customHeight="false" outlineLevel="0" collapsed="false">
      <c r="A503" s="216" t="str">
        <f aca="false">CONCATENATE(C503," ",H503)</f>
        <v> </v>
      </c>
    </row>
    <row r="504" customFormat="false" ht="15" hidden="false" customHeight="false" outlineLevel="0" collapsed="false">
      <c r="A504" s="216" t="str">
        <f aca="false">CONCATENATE(C504," ",H504)</f>
        <v> </v>
      </c>
    </row>
    <row r="505" customFormat="false" ht="15" hidden="false" customHeight="false" outlineLevel="0" collapsed="false">
      <c r="A505" s="216" t="str">
        <f aca="false">CONCATENATE(C505," ",H505)</f>
        <v> </v>
      </c>
    </row>
    <row r="506" customFormat="false" ht="15" hidden="false" customHeight="false" outlineLevel="0" collapsed="false">
      <c r="A506" s="216" t="str">
        <f aca="false">CONCATENATE(C506," ",H506)</f>
        <v> </v>
      </c>
    </row>
    <row r="507" customFormat="false" ht="15" hidden="false" customHeight="false" outlineLevel="0" collapsed="false">
      <c r="A507" s="216" t="str">
        <f aca="false">CONCATENATE(C507," ",H507)</f>
        <v> </v>
      </c>
    </row>
    <row r="508" customFormat="false" ht="15" hidden="false" customHeight="false" outlineLevel="0" collapsed="false">
      <c r="A508" s="216" t="str">
        <f aca="false">CONCATENATE(C508," ",H508)</f>
        <v> </v>
      </c>
    </row>
    <row r="509" customFormat="false" ht="15" hidden="false" customHeight="false" outlineLevel="0" collapsed="false">
      <c r="A509" s="216" t="str">
        <f aca="false">CONCATENATE(C509," ",H509)</f>
        <v> </v>
      </c>
    </row>
    <row r="510" customFormat="false" ht="15" hidden="false" customHeight="false" outlineLevel="0" collapsed="false">
      <c r="A510" s="216" t="str">
        <f aca="false">CONCATENATE(C510," ",H510)</f>
        <v> </v>
      </c>
    </row>
    <row r="511" customFormat="false" ht="15" hidden="false" customHeight="false" outlineLevel="0" collapsed="false">
      <c r="A511" s="216" t="str">
        <f aca="false">CONCATENATE(C511," ",H511)</f>
        <v> </v>
      </c>
    </row>
    <row r="512" customFormat="false" ht="15" hidden="false" customHeight="false" outlineLevel="0" collapsed="false">
      <c r="A512" s="216" t="str">
        <f aca="false">CONCATENATE(C512," ",H512)</f>
        <v> </v>
      </c>
    </row>
    <row r="513" customFormat="false" ht="15" hidden="false" customHeight="false" outlineLevel="0" collapsed="false">
      <c r="A513" s="216" t="str">
        <f aca="false">CONCATENATE(C513," ",H513)</f>
        <v> </v>
      </c>
    </row>
    <row r="514" customFormat="false" ht="15" hidden="false" customHeight="false" outlineLevel="0" collapsed="false">
      <c r="A514" s="216" t="str">
        <f aca="false">CONCATENATE(C514," ",H514)</f>
        <v> </v>
      </c>
    </row>
    <row r="515" customFormat="false" ht="15" hidden="false" customHeight="false" outlineLevel="0" collapsed="false">
      <c r="A515" s="216" t="str">
        <f aca="false">CONCATENATE(C515," ",H515)</f>
        <v> </v>
      </c>
    </row>
    <row r="516" customFormat="false" ht="15" hidden="false" customHeight="false" outlineLevel="0" collapsed="false">
      <c r="A516" s="216" t="str">
        <f aca="false">CONCATENATE(C516," ",H516)</f>
        <v> </v>
      </c>
    </row>
    <row r="517" customFormat="false" ht="15" hidden="false" customHeight="false" outlineLevel="0" collapsed="false">
      <c r="A517" s="216" t="str">
        <f aca="false">CONCATENATE(C517," ",H517)</f>
        <v> </v>
      </c>
    </row>
    <row r="518" customFormat="false" ht="15" hidden="false" customHeight="false" outlineLevel="0" collapsed="false">
      <c r="A518" s="216" t="str">
        <f aca="false">CONCATENATE(C518," ",H518)</f>
        <v> </v>
      </c>
    </row>
    <row r="519" customFormat="false" ht="15" hidden="false" customHeight="false" outlineLevel="0" collapsed="false">
      <c r="A519" s="216" t="str">
        <f aca="false">CONCATENATE(C519," ",H519)</f>
        <v> </v>
      </c>
    </row>
    <row r="520" customFormat="false" ht="15" hidden="false" customHeight="false" outlineLevel="0" collapsed="false">
      <c r="A520" s="216" t="str">
        <f aca="false">CONCATENATE(C520," ",H520)</f>
        <v> </v>
      </c>
    </row>
    <row r="521" customFormat="false" ht="15" hidden="false" customHeight="false" outlineLevel="0" collapsed="false">
      <c r="A521" s="216" t="str">
        <f aca="false">CONCATENATE(C521," ",H521)</f>
        <v> </v>
      </c>
    </row>
    <row r="522" customFormat="false" ht="15" hidden="false" customHeight="false" outlineLevel="0" collapsed="false">
      <c r="A522" s="216" t="str">
        <f aca="false">CONCATENATE(C522," ",H522)</f>
        <v> </v>
      </c>
    </row>
    <row r="523" customFormat="false" ht="15" hidden="false" customHeight="false" outlineLevel="0" collapsed="false">
      <c r="A523" s="216" t="str">
        <f aca="false">CONCATENATE(C523," ",H523)</f>
        <v> </v>
      </c>
    </row>
    <row r="524" customFormat="false" ht="15" hidden="false" customHeight="false" outlineLevel="0" collapsed="false">
      <c r="A524" s="216" t="str">
        <f aca="false">CONCATENATE(C524," ",H524)</f>
        <v> </v>
      </c>
    </row>
    <row r="525" customFormat="false" ht="15" hidden="false" customHeight="false" outlineLevel="0" collapsed="false">
      <c r="A525" s="216" t="str">
        <f aca="false">CONCATENATE(C525," ",H525)</f>
        <v> </v>
      </c>
    </row>
    <row r="526" customFormat="false" ht="15" hidden="false" customHeight="false" outlineLevel="0" collapsed="false">
      <c r="A526" s="216" t="str">
        <f aca="false">CONCATENATE(C526," ",H526)</f>
        <v> </v>
      </c>
    </row>
    <row r="527" customFormat="false" ht="15" hidden="false" customHeight="false" outlineLevel="0" collapsed="false">
      <c r="A527" s="216" t="str">
        <f aca="false">CONCATENATE(C527," ",H527)</f>
        <v> </v>
      </c>
    </row>
    <row r="528" customFormat="false" ht="15" hidden="false" customHeight="false" outlineLevel="0" collapsed="false">
      <c r="A528" s="216" t="str">
        <f aca="false">CONCATENATE(C528," ",H528)</f>
        <v> </v>
      </c>
    </row>
    <row r="529" customFormat="false" ht="15" hidden="false" customHeight="false" outlineLevel="0" collapsed="false">
      <c r="A529" s="216" t="str">
        <f aca="false">CONCATENATE(C529," ",H529)</f>
        <v> </v>
      </c>
    </row>
    <row r="530" customFormat="false" ht="15" hidden="false" customHeight="false" outlineLevel="0" collapsed="false">
      <c r="A530" s="216" t="str">
        <f aca="false">CONCATENATE(C530," ",H530)</f>
        <v> </v>
      </c>
    </row>
    <row r="531" customFormat="false" ht="15" hidden="false" customHeight="false" outlineLevel="0" collapsed="false">
      <c r="A531" s="216" t="str">
        <f aca="false">CONCATENATE(C531," ",H531)</f>
        <v> </v>
      </c>
    </row>
    <row r="532" customFormat="false" ht="15" hidden="false" customHeight="false" outlineLevel="0" collapsed="false">
      <c r="A532" s="216" t="str">
        <f aca="false">CONCATENATE(C532," ",H532)</f>
        <v> </v>
      </c>
    </row>
    <row r="533" customFormat="false" ht="15" hidden="false" customHeight="false" outlineLevel="0" collapsed="false">
      <c r="A533" s="216" t="str">
        <f aca="false">CONCATENATE(C533," ",H533)</f>
        <v> </v>
      </c>
    </row>
    <row r="534" customFormat="false" ht="15" hidden="false" customHeight="false" outlineLevel="0" collapsed="false">
      <c r="A534" s="216" t="str">
        <f aca="false">CONCATENATE(C534," ",H534)</f>
        <v> </v>
      </c>
    </row>
    <row r="535" customFormat="false" ht="15" hidden="false" customHeight="false" outlineLevel="0" collapsed="false">
      <c r="A535" s="216" t="str">
        <f aca="false">CONCATENATE(C535," ",H535)</f>
        <v> </v>
      </c>
    </row>
    <row r="536" customFormat="false" ht="15" hidden="false" customHeight="false" outlineLevel="0" collapsed="false">
      <c r="A536" s="216" t="str">
        <f aca="false">CONCATENATE(C536," ",H536)</f>
        <v> </v>
      </c>
    </row>
    <row r="537" customFormat="false" ht="15" hidden="false" customHeight="false" outlineLevel="0" collapsed="false">
      <c r="A537" s="216" t="str">
        <f aca="false">CONCATENATE(C537," ",H537)</f>
        <v> </v>
      </c>
    </row>
    <row r="538" customFormat="false" ht="15" hidden="false" customHeight="false" outlineLevel="0" collapsed="false">
      <c r="A538" s="216" t="str">
        <f aca="false">CONCATENATE(C538," ",H538)</f>
        <v> </v>
      </c>
    </row>
    <row r="539" customFormat="false" ht="15" hidden="false" customHeight="false" outlineLevel="0" collapsed="false">
      <c r="A539" s="216" t="str">
        <f aca="false">CONCATENATE(C539," ",H539)</f>
        <v> </v>
      </c>
    </row>
    <row r="540" customFormat="false" ht="15" hidden="false" customHeight="false" outlineLevel="0" collapsed="false">
      <c r="A540" s="216" t="str">
        <f aca="false">CONCATENATE(C540," ",H540)</f>
        <v> </v>
      </c>
    </row>
    <row r="541" customFormat="false" ht="15" hidden="false" customHeight="false" outlineLevel="0" collapsed="false">
      <c r="A541" s="216" t="str">
        <f aca="false">CONCATENATE(C541," ",H541)</f>
        <v> </v>
      </c>
    </row>
    <row r="542" customFormat="false" ht="15" hidden="false" customHeight="false" outlineLevel="0" collapsed="false">
      <c r="A542" s="216" t="str">
        <f aca="false">CONCATENATE(C542," ",H542)</f>
        <v> </v>
      </c>
    </row>
    <row r="543" customFormat="false" ht="15" hidden="false" customHeight="false" outlineLevel="0" collapsed="false">
      <c r="A543" s="216" t="str">
        <f aca="false">CONCATENATE(C543," ",H543)</f>
        <v> </v>
      </c>
    </row>
    <row r="544" customFormat="false" ht="15" hidden="false" customHeight="false" outlineLevel="0" collapsed="false">
      <c r="A544" s="216" t="str">
        <f aca="false">CONCATENATE(C544," ",H544)</f>
        <v> </v>
      </c>
    </row>
    <row r="545" customFormat="false" ht="15" hidden="false" customHeight="false" outlineLevel="0" collapsed="false">
      <c r="A545" s="216" t="str">
        <f aca="false">CONCATENATE(C545," ",H545)</f>
        <v> </v>
      </c>
    </row>
    <row r="546" customFormat="false" ht="15" hidden="false" customHeight="false" outlineLevel="0" collapsed="false">
      <c r="A546" s="216" t="str">
        <f aca="false">CONCATENATE(C546," ",H546)</f>
        <v> </v>
      </c>
    </row>
    <row r="547" customFormat="false" ht="15" hidden="false" customHeight="false" outlineLevel="0" collapsed="false">
      <c r="A547" s="216" t="str">
        <f aca="false">CONCATENATE(C547," ",H547)</f>
        <v> </v>
      </c>
    </row>
    <row r="548" customFormat="false" ht="15" hidden="false" customHeight="false" outlineLevel="0" collapsed="false">
      <c r="A548" s="216" t="str">
        <f aca="false">CONCATENATE(C548," ",H548)</f>
        <v> </v>
      </c>
    </row>
    <row r="549" customFormat="false" ht="15" hidden="false" customHeight="false" outlineLevel="0" collapsed="false">
      <c r="A549" s="216" t="str">
        <f aca="false">CONCATENATE(C549," ",H549)</f>
        <v> </v>
      </c>
    </row>
    <row r="550" customFormat="false" ht="15" hidden="false" customHeight="false" outlineLevel="0" collapsed="false">
      <c r="A550" s="216" t="str">
        <f aca="false">CONCATENATE(C550," ",H550)</f>
        <v> </v>
      </c>
    </row>
    <row r="551" customFormat="false" ht="15" hidden="false" customHeight="false" outlineLevel="0" collapsed="false">
      <c r="A551" s="216" t="str">
        <f aca="false">CONCATENATE(C551," ",H551)</f>
        <v> </v>
      </c>
    </row>
    <row r="552" customFormat="false" ht="15" hidden="false" customHeight="false" outlineLevel="0" collapsed="false">
      <c r="A552" s="216" t="str">
        <f aca="false">CONCATENATE(C552," ",H552)</f>
        <v> </v>
      </c>
    </row>
    <row r="553" customFormat="false" ht="15" hidden="false" customHeight="false" outlineLevel="0" collapsed="false">
      <c r="A553" s="216" t="str">
        <f aca="false">CONCATENATE(C553," ",H553)</f>
        <v> </v>
      </c>
    </row>
    <row r="554" customFormat="false" ht="15" hidden="false" customHeight="false" outlineLevel="0" collapsed="false">
      <c r="A554" s="216" t="str">
        <f aca="false">CONCATENATE(C554," ",H554)</f>
        <v> </v>
      </c>
    </row>
    <row r="555" customFormat="false" ht="15" hidden="false" customHeight="false" outlineLevel="0" collapsed="false">
      <c r="A555" s="216" t="str">
        <f aca="false">CONCATENATE(C555," ",H555)</f>
        <v> </v>
      </c>
    </row>
    <row r="556" customFormat="false" ht="15" hidden="false" customHeight="false" outlineLevel="0" collapsed="false">
      <c r="A556" s="216" t="str">
        <f aca="false">CONCATENATE(C556," ",H556)</f>
        <v> </v>
      </c>
    </row>
    <row r="557" customFormat="false" ht="15" hidden="false" customHeight="false" outlineLevel="0" collapsed="false">
      <c r="A557" s="216" t="str">
        <f aca="false">CONCATENATE(C557," ",H557)</f>
        <v> </v>
      </c>
    </row>
    <row r="558" customFormat="false" ht="15" hidden="false" customHeight="false" outlineLevel="0" collapsed="false">
      <c r="A558" s="216" t="str">
        <f aca="false">CONCATENATE(C558," ",H558)</f>
        <v> </v>
      </c>
    </row>
    <row r="559" customFormat="false" ht="15" hidden="false" customHeight="false" outlineLevel="0" collapsed="false">
      <c r="A559" s="216" t="str">
        <f aca="false">CONCATENATE(C559," ",H559)</f>
        <v> </v>
      </c>
    </row>
    <row r="560" customFormat="false" ht="15" hidden="false" customHeight="false" outlineLevel="0" collapsed="false">
      <c r="A560" s="216" t="str">
        <f aca="false">CONCATENATE(C560," ",H560)</f>
        <v> </v>
      </c>
    </row>
    <row r="561" customFormat="false" ht="15" hidden="false" customHeight="false" outlineLevel="0" collapsed="false">
      <c r="A561" s="216" t="str">
        <f aca="false">CONCATENATE(C561," ",H561)</f>
        <v> </v>
      </c>
    </row>
    <row r="562" customFormat="false" ht="15" hidden="false" customHeight="false" outlineLevel="0" collapsed="false">
      <c r="A562" s="216" t="str">
        <f aca="false">CONCATENATE(C562," ",H562)</f>
        <v> </v>
      </c>
    </row>
    <row r="563" customFormat="false" ht="15" hidden="false" customHeight="false" outlineLevel="0" collapsed="false">
      <c r="A563" s="216" t="str">
        <f aca="false">CONCATENATE(C563," ",H563)</f>
        <v> </v>
      </c>
    </row>
    <row r="564" customFormat="false" ht="15" hidden="false" customHeight="false" outlineLevel="0" collapsed="false">
      <c r="A564" s="216" t="str">
        <f aca="false">CONCATENATE(C564," ",H564)</f>
        <v> </v>
      </c>
    </row>
    <row r="565" customFormat="false" ht="15" hidden="false" customHeight="false" outlineLevel="0" collapsed="false">
      <c r="A565" s="216" t="str">
        <f aca="false">CONCATENATE(C565," ",H565)</f>
        <v> </v>
      </c>
    </row>
    <row r="566" customFormat="false" ht="15" hidden="false" customHeight="false" outlineLevel="0" collapsed="false">
      <c r="A566" s="216" t="str">
        <f aca="false">CONCATENATE(C566," ",H566)</f>
        <v> </v>
      </c>
    </row>
    <row r="567" customFormat="false" ht="15" hidden="false" customHeight="false" outlineLevel="0" collapsed="false">
      <c r="A567" s="216" t="str">
        <f aca="false">CONCATENATE(C567," ",H567)</f>
        <v> </v>
      </c>
    </row>
    <row r="568" customFormat="false" ht="15" hidden="false" customHeight="false" outlineLevel="0" collapsed="false">
      <c r="A568" s="216" t="str">
        <f aca="false">CONCATENATE(C568," ",H568)</f>
        <v> </v>
      </c>
    </row>
    <row r="569" customFormat="false" ht="15" hidden="false" customHeight="false" outlineLevel="0" collapsed="false">
      <c r="A569" s="216" t="str">
        <f aca="false">CONCATENATE(C569," ",H569)</f>
        <v> </v>
      </c>
    </row>
    <row r="570" customFormat="false" ht="15" hidden="false" customHeight="false" outlineLevel="0" collapsed="false">
      <c r="A570" s="216" t="str">
        <f aca="false">CONCATENATE(C570," ",H570)</f>
        <v> </v>
      </c>
    </row>
    <row r="571" customFormat="false" ht="15" hidden="false" customHeight="false" outlineLevel="0" collapsed="false">
      <c r="A571" s="216" t="str">
        <f aca="false">CONCATENATE(C571," ",H571)</f>
        <v> </v>
      </c>
    </row>
    <row r="572" customFormat="false" ht="15" hidden="false" customHeight="false" outlineLevel="0" collapsed="false">
      <c r="A572" s="216" t="str">
        <f aca="false">CONCATENATE(C572," ",H572)</f>
        <v> </v>
      </c>
    </row>
    <row r="573" customFormat="false" ht="15" hidden="false" customHeight="false" outlineLevel="0" collapsed="false">
      <c r="A573" s="216" t="str">
        <f aca="false">CONCATENATE(C573," ",H573)</f>
        <v> </v>
      </c>
    </row>
    <row r="574" customFormat="false" ht="15" hidden="false" customHeight="false" outlineLevel="0" collapsed="false">
      <c r="A574" s="216" t="str">
        <f aca="false">CONCATENATE(C574," ",H574)</f>
        <v> </v>
      </c>
    </row>
    <row r="575" customFormat="false" ht="15" hidden="false" customHeight="false" outlineLevel="0" collapsed="false">
      <c r="A575" s="216" t="str">
        <f aca="false">CONCATENATE(C575," ",H575)</f>
        <v> </v>
      </c>
    </row>
    <row r="576" customFormat="false" ht="15" hidden="false" customHeight="false" outlineLevel="0" collapsed="false">
      <c r="A576" s="216" t="str">
        <f aca="false">CONCATENATE(C576," ",H576)</f>
        <v> </v>
      </c>
    </row>
    <row r="577" customFormat="false" ht="15" hidden="false" customHeight="false" outlineLevel="0" collapsed="false">
      <c r="A577" s="216" t="str">
        <f aca="false">CONCATENATE(C577," ",H577)</f>
        <v> </v>
      </c>
    </row>
    <row r="578" customFormat="false" ht="15" hidden="false" customHeight="false" outlineLevel="0" collapsed="false">
      <c r="A578" s="216" t="str">
        <f aca="false">CONCATENATE(C578," ",H578)</f>
        <v> </v>
      </c>
    </row>
    <row r="579" customFormat="false" ht="15" hidden="false" customHeight="false" outlineLevel="0" collapsed="false">
      <c r="A579" s="216" t="str">
        <f aca="false">CONCATENATE(C579," ",H579)</f>
        <v> </v>
      </c>
    </row>
    <row r="580" customFormat="false" ht="15" hidden="false" customHeight="false" outlineLevel="0" collapsed="false">
      <c r="A580" s="216" t="str">
        <f aca="false">CONCATENATE(C580," ",H580)</f>
        <v> </v>
      </c>
    </row>
    <row r="581" customFormat="false" ht="15" hidden="false" customHeight="false" outlineLevel="0" collapsed="false">
      <c r="A581" s="216" t="str">
        <f aca="false">CONCATENATE(C581," ",H581)</f>
        <v> </v>
      </c>
    </row>
    <row r="582" customFormat="false" ht="15" hidden="false" customHeight="false" outlineLevel="0" collapsed="false">
      <c r="A582" s="216" t="str">
        <f aca="false">CONCATENATE(C582," ",H582)</f>
        <v> </v>
      </c>
    </row>
    <row r="583" customFormat="false" ht="15" hidden="false" customHeight="false" outlineLevel="0" collapsed="false">
      <c r="A583" s="216" t="str">
        <f aca="false">CONCATENATE(C583," ",H583)</f>
        <v> </v>
      </c>
    </row>
    <row r="584" customFormat="false" ht="15" hidden="false" customHeight="false" outlineLevel="0" collapsed="false">
      <c r="A584" s="216" t="str">
        <f aca="false">CONCATENATE(C584," ",H584)</f>
        <v> </v>
      </c>
    </row>
    <row r="585" customFormat="false" ht="15" hidden="false" customHeight="false" outlineLevel="0" collapsed="false">
      <c r="A585" s="216" t="str">
        <f aca="false">CONCATENATE(C585," ",H585)</f>
        <v> </v>
      </c>
    </row>
    <row r="586" customFormat="false" ht="15" hidden="false" customHeight="false" outlineLevel="0" collapsed="false">
      <c r="A586" s="216" t="str">
        <f aca="false">CONCATENATE(C586," ",H586)</f>
        <v> </v>
      </c>
    </row>
    <row r="587" customFormat="false" ht="15" hidden="false" customHeight="false" outlineLevel="0" collapsed="false">
      <c r="A587" s="216" t="str">
        <f aca="false">CONCATENATE(C587," ",H587)</f>
        <v> </v>
      </c>
    </row>
    <row r="588" customFormat="false" ht="15" hidden="false" customHeight="false" outlineLevel="0" collapsed="false">
      <c r="A588" s="216" t="str">
        <f aca="false">CONCATENATE(C588," ",H588)</f>
        <v> </v>
      </c>
    </row>
    <row r="589" customFormat="false" ht="15" hidden="false" customHeight="false" outlineLevel="0" collapsed="false">
      <c r="A589" s="216" t="str">
        <f aca="false">CONCATENATE(C589," ",H589)</f>
        <v> </v>
      </c>
    </row>
    <row r="590" customFormat="false" ht="15" hidden="false" customHeight="false" outlineLevel="0" collapsed="false">
      <c r="A590" s="216" t="str">
        <f aca="false">CONCATENATE(C590," ",H590)</f>
        <v> </v>
      </c>
    </row>
    <row r="591" customFormat="false" ht="15" hidden="false" customHeight="false" outlineLevel="0" collapsed="false">
      <c r="A591" s="216" t="str">
        <f aca="false">CONCATENATE(C591," ",H591)</f>
        <v> </v>
      </c>
    </row>
    <row r="592" customFormat="false" ht="15" hidden="false" customHeight="false" outlineLevel="0" collapsed="false">
      <c r="A592" s="216" t="str">
        <f aca="false">CONCATENATE(C592," ",H592)</f>
        <v> </v>
      </c>
    </row>
    <row r="593" customFormat="false" ht="15" hidden="false" customHeight="false" outlineLevel="0" collapsed="false">
      <c r="A593" s="216" t="str">
        <f aca="false">CONCATENATE(C593," ",H593)</f>
        <v> </v>
      </c>
    </row>
    <row r="594" customFormat="false" ht="15" hidden="false" customHeight="false" outlineLevel="0" collapsed="false">
      <c r="A594" s="216" t="str">
        <f aca="false">CONCATENATE(C594," ",H594)</f>
        <v> </v>
      </c>
    </row>
    <row r="595" customFormat="false" ht="15" hidden="false" customHeight="false" outlineLevel="0" collapsed="false">
      <c r="A595" s="216" t="str">
        <f aca="false">CONCATENATE(C595," ",H595)</f>
        <v> </v>
      </c>
    </row>
    <row r="596" customFormat="false" ht="15" hidden="false" customHeight="false" outlineLevel="0" collapsed="false">
      <c r="A596" s="216" t="str">
        <f aca="false">CONCATENATE(C596," ",H596)</f>
        <v> </v>
      </c>
    </row>
    <row r="597" customFormat="false" ht="15" hidden="false" customHeight="false" outlineLevel="0" collapsed="false">
      <c r="A597" s="216" t="str">
        <f aca="false">CONCATENATE(C597," ",H597)</f>
        <v> </v>
      </c>
    </row>
    <row r="598" customFormat="false" ht="15" hidden="false" customHeight="false" outlineLevel="0" collapsed="false">
      <c r="A598" s="216" t="str">
        <f aca="false">CONCATENATE(C598," ",H598)</f>
        <v> </v>
      </c>
    </row>
    <row r="599" customFormat="false" ht="15" hidden="false" customHeight="false" outlineLevel="0" collapsed="false">
      <c r="A599" s="216" t="str">
        <f aca="false">CONCATENATE(C599," ",H599)</f>
        <v> </v>
      </c>
    </row>
    <row r="600" customFormat="false" ht="15" hidden="false" customHeight="false" outlineLevel="0" collapsed="false">
      <c r="A600" s="216" t="str">
        <f aca="false">CONCATENATE(C600," ",H600)</f>
        <v> </v>
      </c>
    </row>
    <row r="601" customFormat="false" ht="15" hidden="false" customHeight="false" outlineLevel="0" collapsed="false">
      <c r="A601" s="216" t="str">
        <f aca="false">CONCATENATE(C601," ",H601)</f>
        <v> </v>
      </c>
    </row>
    <row r="602" customFormat="false" ht="15" hidden="false" customHeight="false" outlineLevel="0" collapsed="false">
      <c r="A602" s="216" t="str">
        <f aca="false">CONCATENATE(C602," ",H602)</f>
        <v> </v>
      </c>
    </row>
    <row r="603" customFormat="false" ht="15" hidden="false" customHeight="false" outlineLevel="0" collapsed="false">
      <c r="A603" s="216" t="str">
        <f aca="false">CONCATENATE(C603," ",H603)</f>
        <v> </v>
      </c>
    </row>
    <row r="604" customFormat="false" ht="15" hidden="false" customHeight="false" outlineLevel="0" collapsed="false">
      <c r="A604" s="216" t="str">
        <f aca="false">CONCATENATE(C604," ",H604)</f>
        <v> </v>
      </c>
    </row>
    <row r="605" customFormat="false" ht="15" hidden="false" customHeight="false" outlineLevel="0" collapsed="false">
      <c r="A605" s="216" t="str">
        <f aca="false">CONCATENATE(C605," ",H605)</f>
        <v> </v>
      </c>
    </row>
    <row r="606" customFormat="false" ht="15" hidden="false" customHeight="false" outlineLevel="0" collapsed="false">
      <c r="A606" s="216" t="str">
        <f aca="false">CONCATENATE(C606," ",H606)</f>
        <v> </v>
      </c>
    </row>
    <row r="607" customFormat="false" ht="15" hidden="false" customHeight="false" outlineLevel="0" collapsed="false">
      <c r="A607" s="216" t="str">
        <f aca="false">CONCATENATE(C607," ",H607)</f>
        <v> </v>
      </c>
    </row>
    <row r="608" customFormat="false" ht="15" hidden="false" customHeight="false" outlineLevel="0" collapsed="false">
      <c r="A608" s="216" t="str">
        <f aca="false">CONCATENATE(C608," ",H608)</f>
        <v> </v>
      </c>
    </row>
    <row r="609" customFormat="false" ht="15" hidden="false" customHeight="false" outlineLevel="0" collapsed="false">
      <c r="A609" s="216" t="str">
        <f aca="false">CONCATENATE(C609," ",H609)</f>
        <v> </v>
      </c>
    </row>
    <row r="610" customFormat="false" ht="15" hidden="false" customHeight="false" outlineLevel="0" collapsed="false">
      <c r="A610" s="216" t="str">
        <f aca="false">CONCATENATE(C610," ",H610)</f>
        <v> </v>
      </c>
    </row>
    <row r="611" customFormat="false" ht="15" hidden="false" customHeight="false" outlineLevel="0" collapsed="false">
      <c r="A611" s="216" t="str">
        <f aca="false">CONCATENATE(C611," ",H611)</f>
        <v> </v>
      </c>
    </row>
    <row r="612" customFormat="false" ht="15" hidden="false" customHeight="false" outlineLevel="0" collapsed="false">
      <c r="A612" s="216" t="str">
        <f aca="false">CONCATENATE(C612," ",H612)</f>
        <v> </v>
      </c>
    </row>
    <row r="613" customFormat="false" ht="15" hidden="false" customHeight="false" outlineLevel="0" collapsed="false">
      <c r="A613" s="216" t="str">
        <f aca="false">CONCATENATE(C613," ",H613)</f>
        <v> </v>
      </c>
    </row>
    <row r="614" customFormat="false" ht="15" hidden="false" customHeight="false" outlineLevel="0" collapsed="false">
      <c r="A614" s="216" t="str">
        <f aca="false">CONCATENATE(C614," ",H614)</f>
        <v> </v>
      </c>
    </row>
    <row r="615" customFormat="false" ht="15" hidden="false" customHeight="false" outlineLevel="0" collapsed="false">
      <c r="A615" s="216" t="str">
        <f aca="false">CONCATENATE(C615," ",H615)</f>
        <v> </v>
      </c>
    </row>
    <row r="616" customFormat="false" ht="15" hidden="false" customHeight="false" outlineLevel="0" collapsed="false">
      <c r="A616" s="216" t="str">
        <f aca="false">CONCATENATE(C616," ",H616)</f>
        <v> </v>
      </c>
    </row>
    <row r="617" customFormat="false" ht="15" hidden="false" customHeight="false" outlineLevel="0" collapsed="false">
      <c r="A617" s="216" t="str">
        <f aca="false">CONCATENATE(C617," ",H617)</f>
        <v> </v>
      </c>
    </row>
    <row r="618" customFormat="false" ht="15" hidden="false" customHeight="false" outlineLevel="0" collapsed="false">
      <c r="A618" s="216" t="str">
        <f aca="false">CONCATENATE(C618," ",H618)</f>
        <v> </v>
      </c>
    </row>
    <row r="619" customFormat="false" ht="15" hidden="false" customHeight="false" outlineLevel="0" collapsed="false">
      <c r="A619" s="216" t="str">
        <f aca="false">CONCATENATE(C619," ",H619)</f>
        <v> </v>
      </c>
    </row>
    <row r="620" customFormat="false" ht="15" hidden="false" customHeight="false" outlineLevel="0" collapsed="false">
      <c r="A620" s="216" t="str">
        <f aca="false">CONCATENATE(C620," ",H620)</f>
        <v> </v>
      </c>
    </row>
    <row r="621" customFormat="false" ht="15" hidden="false" customHeight="false" outlineLevel="0" collapsed="false">
      <c r="A621" s="216" t="str">
        <f aca="false">CONCATENATE(C621," ",H621)</f>
        <v> </v>
      </c>
    </row>
    <row r="622" customFormat="false" ht="15" hidden="false" customHeight="false" outlineLevel="0" collapsed="false">
      <c r="A622" s="216" t="str">
        <f aca="false">CONCATENATE(C622," ",H622)</f>
        <v> </v>
      </c>
    </row>
    <row r="623" customFormat="false" ht="15" hidden="false" customHeight="false" outlineLevel="0" collapsed="false">
      <c r="A623" s="216" t="str">
        <f aca="false">CONCATENATE(C623," ",H623)</f>
        <v> </v>
      </c>
    </row>
    <row r="624" customFormat="false" ht="15" hidden="false" customHeight="false" outlineLevel="0" collapsed="false">
      <c r="A624" s="216" t="str">
        <f aca="false">CONCATENATE(C624," ",H624)</f>
        <v> </v>
      </c>
    </row>
    <row r="625" customFormat="false" ht="15" hidden="false" customHeight="false" outlineLevel="0" collapsed="false">
      <c r="A625" s="216" t="str">
        <f aca="false">CONCATENATE(C625," ",H625)</f>
        <v> </v>
      </c>
    </row>
    <row r="626" customFormat="false" ht="15" hidden="false" customHeight="false" outlineLevel="0" collapsed="false">
      <c r="A626" s="216" t="str">
        <f aca="false">CONCATENATE(C626," ",H626)</f>
        <v> </v>
      </c>
    </row>
    <row r="627" customFormat="false" ht="15" hidden="false" customHeight="false" outlineLevel="0" collapsed="false">
      <c r="A627" s="216" t="str">
        <f aca="false">CONCATENATE(C627," ",H627)</f>
        <v> </v>
      </c>
    </row>
    <row r="628" customFormat="false" ht="15" hidden="false" customHeight="false" outlineLevel="0" collapsed="false">
      <c r="A628" s="216" t="str">
        <f aca="false">CONCATENATE(C628," ",H628)</f>
        <v> </v>
      </c>
    </row>
    <row r="629" customFormat="false" ht="15" hidden="false" customHeight="false" outlineLevel="0" collapsed="false">
      <c r="A629" s="216" t="str">
        <f aca="false">CONCATENATE(C629," ",H629)</f>
        <v> </v>
      </c>
    </row>
    <row r="630" customFormat="false" ht="15" hidden="false" customHeight="false" outlineLevel="0" collapsed="false">
      <c r="A630" s="216" t="str">
        <f aca="false">CONCATENATE(C630," ",H630)</f>
        <v> </v>
      </c>
    </row>
    <row r="631" customFormat="false" ht="15" hidden="false" customHeight="false" outlineLevel="0" collapsed="false">
      <c r="A631" s="216" t="str">
        <f aca="false">CONCATENATE(C631," ",H631)</f>
        <v> </v>
      </c>
    </row>
    <row r="632" customFormat="false" ht="15" hidden="false" customHeight="false" outlineLevel="0" collapsed="false">
      <c r="A632" s="216" t="str">
        <f aca="false">CONCATENATE(C632," ",H632)</f>
        <v> </v>
      </c>
    </row>
    <row r="633" customFormat="false" ht="15" hidden="false" customHeight="false" outlineLevel="0" collapsed="false">
      <c r="A633" s="216" t="str">
        <f aca="false">CONCATENATE(C633," ",H633)</f>
        <v> </v>
      </c>
    </row>
    <row r="634" customFormat="false" ht="15" hidden="false" customHeight="false" outlineLevel="0" collapsed="false">
      <c r="A634" s="216" t="str">
        <f aca="false">CONCATENATE(C634," ",H634)</f>
        <v> </v>
      </c>
    </row>
    <row r="635" customFormat="false" ht="15" hidden="false" customHeight="false" outlineLevel="0" collapsed="false">
      <c r="A635" s="216" t="str">
        <f aca="false">CONCATENATE(C635," ",H635)</f>
        <v> </v>
      </c>
    </row>
    <row r="636" customFormat="false" ht="15" hidden="false" customHeight="false" outlineLevel="0" collapsed="false">
      <c r="A636" s="216" t="str">
        <f aca="false">CONCATENATE(C636," ",H636)</f>
        <v> </v>
      </c>
    </row>
    <row r="637" customFormat="false" ht="15" hidden="false" customHeight="false" outlineLevel="0" collapsed="false">
      <c r="A637" s="216" t="str">
        <f aca="false">CONCATENATE(C637," ",H637)</f>
        <v> </v>
      </c>
    </row>
    <row r="638" customFormat="false" ht="15" hidden="false" customHeight="false" outlineLevel="0" collapsed="false">
      <c r="A638" s="216" t="str">
        <f aca="false">CONCATENATE(C638," ",H638)</f>
        <v> </v>
      </c>
    </row>
    <row r="639" customFormat="false" ht="15" hidden="false" customHeight="false" outlineLevel="0" collapsed="false">
      <c r="A639" s="216" t="str">
        <f aca="false">CONCATENATE(C639," ",H639)</f>
        <v> </v>
      </c>
    </row>
    <row r="640" customFormat="false" ht="15" hidden="false" customHeight="false" outlineLevel="0" collapsed="false">
      <c r="A640" s="216" t="str">
        <f aca="false">CONCATENATE(C640," ",H640)</f>
        <v> </v>
      </c>
    </row>
    <row r="641" customFormat="false" ht="15" hidden="false" customHeight="false" outlineLevel="0" collapsed="false">
      <c r="A641" s="216" t="str">
        <f aca="false">CONCATENATE(C641," ",H641)</f>
        <v> </v>
      </c>
    </row>
    <row r="642" customFormat="false" ht="15" hidden="false" customHeight="false" outlineLevel="0" collapsed="false">
      <c r="A642" s="216" t="str">
        <f aca="false">CONCATENATE(C642," ",H642)</f>
        <v> </v>
      </c>
    </row>
    <row r="643" customFormat="false" ht="15" hidden="false" customHeight="false" outlineLevel="0" collapsed="false">
      <c r="A643" s="216" t="str">
        <f aca="false">CONCATENATE(C643," ",H643)</f>
        <v> </v>
      </c>
    </row>
    <row r="644" customFormat="false" ht="15" hidden="false" customHeight="false" outlineLevel="0" collapsed="false">
      <c r="A644" s="216" t="str">
        <f aca="false">CONCATENATE(C644," ",H644)</f>
        <v> </v>
      </c>
    </row>
    <row r="645" customFormat="false" ht="15" hidden="false" customHeight="false" outlineLevel="0" collapsed="false">
      <c r="A645" s="216" t="str">
        <f aca="false">CONCATENATE(C645," ",H645)</f>
        <v> </v>
      </c>
    </row>
    <row r="646" customFormat="false" ht="15" hidden="false" customHeight="false" outlineLevel="0" collapsed="false">
      <c r="A646" s="216" t="str">
        <f aca="false">CONCATENATE(C646," ",H646)</f>
        <v> </v>
      </c>
    </row>
    <row r="647" customFormat="false" ht="15" hidden="false" customHeight="false" outlineLevel="0" collapsed="false">
      <c r="A647" s="216" t="str">
        <f aca="false">CONCATENATE(C647," ",H647)</f>
        <v> </v>
      </c>
    </row>
    <row r="648" customFormat="false" ht="15" hidden="false" customHeight="false" outlineLevel="0" collapsed="false">
      <c r="A648" s="216" t="str">
        <f aca="false">CONCATENATE(C648," ",H648)</f>
        <v> </v>
      </c>
    </row>
    <row r="649" customFormat="false" ht="15" hidden="false" customHeight="false" outlineLevel="0" collapsed="false">
      <c r="A649" s="216" t="str">
        <f aca="false">CONCATENATE(C649," ",H649)</f>
        <v> </v>
      </c>
    </row>
    <row r="650" customFormat="false" ht="15" hidden="false" customHeight="false" outlineLevel="0" collapsed="false">
      <c r="A650" s="216" t="str">
        <f aca="false">CONCATENATE(C650," ",H650)</f>
        <v> </v>
      </c>
    </row>
    <row r="651" customFormat="false" ht="15" hidden="false" customHeight="false" outlineLevel="0" collapsed="false">
      <c r="A651" s="216" t="str">
        <f aca="false">CONCATENATE(C651," ",H651)</f>
        <v> </v>
      </c>
    </row>
    <row r="652" customFormat="false" ht="15" hidden="false" customHeight="false" outlineLevel="0" collapsed="false">
      <c r="A652" s="216" t="str">
        <f aca="false">CONCATENATE(C652," ",H652)</f>
        <v> </v>
      </c>
    </row>
    <row r="653" customFormat="false" ht="15" hidden="false" customHeight="false" outlineLevel="0" collapsed="false">
      <c r="A653" s="216" t="str">
        <f aca="false">CONCATENATE(C653," ",H653)</f>
        <v> </v>
      </c>
    </row>
    <row r="654" customFormat="false" ht="15" hidden="false" customHeight="false" outlineLevel="0" collapsed="false">
      <c r="A654" s="216" t="str">
        <f aca="false">CONCATENATE(C654," ",H654)</f>
        <v> </v>
      </c>
    </row>
    <row r="655" customFormat="false" ht="15" hidden="false" customHeight="false" outlineLevel="0" collapsed="false">
      <c r="A655" s="216" t="str">
        <f aca="false">CONCATENATE(C655," ",H655)</f>
        <v> </v>
      </c>
    </row>
    <row r="656" customFormat="false" ht="15" hidden="false" customHeight="false" outlineLevel="0" collapsed="false">
      <c r="A656" s="216" t="str">
        <f aca="false">CONCATENATE(C656," ",H656)</f>
        <v> </v>
      </c>
    </row>
    <row r="657" customFormat="false" ht="15" hidden="false" customHeight="false" outlineLevel="0" collapsed="false">
      <c r="A657" s="216" t="str">
        <f aca="false">CONCATENATE(C657," ",H657)</f>
        <v> </v>
      </c>
    </row>
    <row r="658" customFormat="false" ht="15" hidden="false" customHeight="false" outlineLevel="0" collapsed="false">
      <c r="A658" s="216" t="str">
        <f aca="false">CONCATENATE(C658," ",H658)</f>
        <v> </v>
      </c>
    </row>
    <row r="659" customFormat="false" ht="15" hidden="false" customHeight="false" outlineLevel="0" collapsed="false">
      <c r="A659" s="216" t="str">
        <f aca="false">CONCATENATE(C659," ",H659)</f>
        <v> </v>
      </c>
    </row>
    <row r="660" customFormat="false" ht="15" hidden="false" customHeight="false" outlineLevel="0" collapsed="false">
      <c r="A660" s="216" t="str">
        <f aca="false">CONCATENATE(C660," ",H660)</f>
        <v> </v>
      </c>
    </row>
    <row r="661" customFormat="false" ht="15" hidden="false" customHeight="false" outlineLevel="0" collapsed="false">
      <c r="A661" s="216" t="str">
        <f aca="false">CONCATENATE(C661," ",H661)</f>
        <v> </v>
      </c>
    </row>
    <row r="662" customFormat="false" ht="15" hidden="false" customHeight="false" outlineLevel="0" collapsed="false">
      <c r="A662" s="216" t="str">
        <f aca="false">CONCATENATE(C662," ",H662)</f>
        <v> </v>
      </c>
    </row>
    <row r="663" customFormat="false" ht="15" hidden="false" customHeight="false" outlineLevel="0" collapsed="false">
      <c r="A663" s="216" t="str">
        <f aca="false">CONCATENATE(C663," ",H663)</f>
        <v> </v>
      </c>
    </row>
    <row r="664" customFormat="false" ht="15" hidden="false" customHeight="false" outlineLevel="0" collapsed="false">
      <c r="A664" s="216" t="str">
        <f aca="false">CONCATENATE(C664," ",H664)</f>
        <v> </v>
      </c>
    </row>
    <row r="665" customFormat="false" ht="15" hidden="false" customHeight="false" outlineLevel="0" collapsed="false">
      <c r="A665" s="216" t="str">
        <f aca="false">CONCATENATE(C665," ",H665)</f>
        <v> </v>
      </c>
    </row>
    <row r="666" customFormat="false" ht="15" hidden="false" customHeight="false" outlineLevel="0" collapsed="false">
      <c r="A666" s="216" t="str">
        <f aca="false">CONCATENATE(C666," ",H666)</f>
        <v> </v>
      </c>
    </row>
    <row r="667" customFormat="false" ht="15" hidden="false" customHeight="false" outlineLevel="0" collapsed="false">
      <c r="A667" s="216" t="str">
        <f aca="false">CONCATENATE(C667," ",H667)</f>
        <v> </v>
      </c>
    </row>
    <row r="668" customFormat="false" ht="15" hidden="false" customHeight="false" outlineLevel="0" collapsed="false">
      <c r="A668" s="216" t="str">
        <f aca="false">CONCATENATE(C668," ",H668)</f>
        <v> </v>
      </c>
    </row>
    <row r="669" customFormat="false" ht="15" hidden="false" customHeight="false" outlineLevel="0" collapsed="false">
      <c r="A669" s="216" t="str">
        <f aca="false">CONCATENATE(C669," ",H669)</f>
        <v> </v>
      </c>
    </row>
    <row r="670" customFormat="false" ht="15" hidden="false" customHeight="false" outlineLevel="0" collapsed="false">
      <c r="A670" s="216" t="str">
        <f aca="false">CONCATENATE(C670," ",H670)</f>
        <v> </v>
      </c>
    </row>
    <row r="671" customFormat="false" ht="15" hidden="false" customHeight="false" outlineLevel="0" collapsed="false">
      <c r="A671" s="216" t="str">
        <f aca="false">CONCATENATE(C671," ",H671)</f>
        <v> </v>
      </c>
    </row>
    <row r="672" customFormat="false" ht="15" hidden="false" customHeight="false" outlineLevel="0" collapsed="false">
      <c r="A672" s="216" t="str">
        <f aca="false">CONCATENATE(C672," ",H672)</f>
        <v> </v>
      </c>
    </row>
    <row r="673" customFormat="false" ht="15" hidden="false" customHeight="false" outlineLevel="0" collapsed="false">
      <c r="A673" s="216" t="str">
        <f aca="false">CONCATENATE(C673," ",H673)</f>
        <v> </v>
      </c>
    </row>
    <row r="674" customFormat="false" ht="15" hidden="false" customHeight="false" outlineLevel="0" collapsed="false">
      <c r="A674" s="216" t="str">
        <f aca="false">CONCATENATE(C674," ",H674)</f>
        <v> </v>
      </c>
    </row>
    <row r="675" customFormat="false" ht="15" hidden="false" customHeight="false" outlineLevel="0" collapsed="false">
      <c r="A675" s="216" t="str">
        <f aca="false">CONCATENATE(C675," ",H675)</f>
        <v> </v>
      </c>
    </row>
    <row r="676" customFormat="false" ht="15" hidden="false" customHeight="false" outlineLevel="0" collapsed="false">
      <c r="A676" s="216" t="str">
        <f aca="false">CONCATENATE(C676," ",H676)</f>
        <v> </v>
      </c>
    </row>
    <row r="677" customFormat="false" ht="15" hidden="false" customHeight="false" outlineLevel="0" collapsed="false">
      <c r="A677" s="216" t="str">
        <f aca="false">CONCATENATE(C677," ",H677)</f>
        <v> </v>
      </c>
    </row>
    <row r="678" customFormat="false" ht="15" hidden="false" customHeight="false" outlineLevel="0" collapsed="false">
      <c r="A678" s="216" t="str">
        <f aca="false">CONCATENATE(C678," ",H678)</f>
        <v> </v>
      </c>
    </row>
    <row r="679" customFormat="false" ht="15" hidden="false" customHeight="false" outlineLevel="0" collapsed="false">
      <c r="A679" s="216" t="str">
        <f aca="false">CONCATENATE(C679," ",H679)</f>
        <v> </v>
      </c>
    </row>
    <row r="680" customFormat="false" ht="15" hidden="false" customHeight="false" outlineLevel="0" collapsed="false">
      <c r="A680" s="216" t="str">
        <f aca="false">CONCATENATE(C680," ",H680)</f>
        <v> </v>
      </c>
    </row>
    <row r="681" customFormat="false" ht="15" hidden="false" customHeight="false" outlineLevel="0" collapsed="false">
      <c r="A681" s="216" t="str">
        <f aca="false">CONCATENATE(C681," ",H681)</f>
        <v> </v>
      </c>
    </row>
    <row r="682" customFormat="false" ht="15" hidden="false" customHeight="false" outlineLevel="0" collapsed="false">
      <c r="A682" s="216" t="str">
        <f aca="false">CONCATENATE(C682," ",H682)</f>
        <v> </v>
      </c>
    </row>
    <row r="683" customFormat="false" ht="15" hidden="false" customHeight="false" outlineLevel="0" collapsed="false">
      <c r="A683" s="216" t="str">
        <f aca="false">CONCATENATE(C683," ",H683)</f>
        <v> </v>
      </c>
    </row>
    <row r="684" customFormat="false" ht="15" hidden="false" customHeight="false" outlineLevel="0" collapsed="false">
      <c r="A684" s="216" t="str">
        <f aca="false">CONCATENATE(C684," ",H684)</f>
        <v> </v>
      </c>
    </row>
    <row r="685" customFormat="false" ht="15" hidden="false" customHeight="false" outlineLevel="0" collapsed="false">
      <c r="A685" s="216" t="str">
        <f aca="false">CONCATENATE(C685," ",H685)</f>
        <v> </v>
      </c>
    </row>
    <row r="686" customFormat="false" ht="15" hidden="false" customHeight="false" outlineLevel="0" collapsed="false">
      <c r="A686" s="216" t="str">
        <f aca="false">CONCATENATE(C686," ",H686)</f>
        <v> </v>
      </c>
    </row>
    <row r="687" customFormat="false" ht="15" hidden="false" customHeight="false" outlineLevel="0" collapsed="false">
      <c r="A687" s="216" t="str">
        <f aca="false">CONCATENATE(C687," ",H687)</f>
        <v> </v>
      </c>
    </row>
    <row r="688" customFormat="false" ht="15" hidden="false" customHeight="false" outlineLevel="0" collapsed="false">
      <c r="A688" s="216" t="str">
        <f aca="false">CONCATENATE(C688," ",H688)</f>
        <v> </v>
      </c>
    </row>
    <row r="689" customFormat="false" ht="15" hidden="false" customHeight="false" outlineLevel="0" collapsed="false">
      <c r="A689" s="216" t="str">
        <f aca="false">CONCATENATE(C689," ",H689)</f>
        <v> </v>
      </c>
    </row>
    <row r="690" customFormat="false" ht="15" hidden="false" customHeight="false" outlineLevel="0" collapsed="false">
      <c r="A690" s="216" t="str">
        <f aca="false">CONCATENATE(C690," ",H690)</f>
        <v> </v>
      </c>
    </row>
    <row r="691" customFormat="false" ht="15" hidden="false" customHeight="false" outlineLevel="0" collapsed="false">
      <c r="A691" s="216" t="str">
        <f aca="false">CONCATENATE(C691," ",H691)</f>
        <v> </v>
      </c>
    </row>
    <row r="692" customFormat="false" ht="15" hidden="false" customHeight="false" outlineLevel="0" collapsed="false">
      <c r="A692" s="216" t="str">
        <f aca="false">CONCATENATE(C692," ",H692)</f>
        <v> </v>
      </c>
    </row>
    <row r="693" customFormat="false" ht="15" hidden="false" customHeight="false" outlineLevel="0" collapsed="false">
      <c r="A693" s="216" t="str">
        <f aca="false">CONCATENATE(C693," ",H693)</f>
        <v> </v>
      </c>
    </row>
    <row r="694" customFormat="false" ht="15" hidden="false" customHeight="false" outlineLevel="0" collapsed="false">
      <c r="A694" s="216" t="str">
        <f aca="false">CONCATENATE(C694," ",H694)</f>
        <v> </v>
      </c>
    </row>
    <row r="695" customFormat="false" ht="15" hidden="false" customHeight="false" outlineLevel="0" collapsed="false">
      <c r="A695" s="216" t="str">
        <f aca="false">CONCATENATE(C695," ",H695)</f>
        <v> </v>
      </c>
    </row>
    <row r="696" customFormat="false" ht="15" hidden="false" customHeight="false" outlineLevel="0" collapsed="false">
      <c r="A696" s="216" t="str">
        <f aca="false">CONCATENATE(C696," ",H696)</f>
        <v> </v>
      </c>
    </row>
    <row r="697" customFormat="false" ht="15" hidden="false" customHeight="false" outlineLevel="0" collapsed="false">
      <c r="A697" s="216" t="str">
        <f aca="false">CONCATENATE(C697," ",H697)</f>
        <v> </v>
      </c>
    </row>
    <row r="698" customFormat="false" ht="15" hidden="false" customHeight="false" outlineLevel="0" collapsed="false">
      <c r="A698" s="216" t="str">
        <f aca="false">CONCATENATE(C698," ",H698)</f>
        <v> </v>
      </c>
    </row>
    <row r="699" customFormat="false" ht="15" hidden="false" customHeight="false" outlineLevel="0" collapsed="false">
      <c r="A699" s="216" t="str">
        <f aca="false">CONCATENATE(C699," ",H699)</f>
        <v> </v>
      </c>
    </row>
    <row r="700" customFormat="false" ht="15" hidden="false" customHeight="false" outlineLevel="0" collapsed="false">
      <c r="A700" s="216" t="str">
        <f aca="false">CONCATENATE(C700," ",H700)</f>
        <v> </v>
      </c>
    </row>
    <row r="701" customFormat="false" ht="15" hidden="false" customHeight="false" outlineLevel="0" collapsed="false">
      <c r="A701" s="216" t="str">
        <f aca="false">CONCATENATE(C701," ",H701)</f>
        <v> </v>
      </c>
    </row>
    <row r="702" customFormat="false" ht="15" hidden="false" customHeight="false" outlineLevel="0" collapsed="false">
      <c r="A702" s="216" t="str">
        <f aca="false">CONCATENATE(C702," ",H702)</f>
        <v> </v>
      </c>
    </row>
    <row r="703" customFormat="false" ht="15" hidden="false" customHeight="false" outlineLevel="0" collapsed="false">
      <c r="A703" s="216" t="str">
        <f aca="false">CONCATENATE(C703," ",H703)</f>
        <v> </v>
      </c>
    </row>
    <row r="704" customFormat="false" ht="15" hidden="false" customHeight="false" outlineLevel="0" collapsed="false">
      <c r="A704" s="216" t="str">
        <f aca="false">CONCATENATE(C704," ",H704)</f>
        <v> </v>
      </c>
    </row>
    <row r="705" customFormat="false" ht="15" hidden="false" customHeight="false" outlineLevel="0" collapsed="false">
      <c r="A705" s="216" t="str">
        <f aca="false">CONCATENATE(C705," ",H705)</f>
        <v> </v>
      </c>
    </row>
    <row r="706" customFormat="false" ht="15" hidden="false" customHeight="false" outlineLevel="0" collapsed="false">
      <c r="A706" s="216" t="str">
        <f aca="false">CONCATENATE(C706," ",H706)</f>
        <v> </v>
      </c>
    </row>
    <row r="707" customFormat="false" ht="15" hidden="false" customHeight="false" outlineLevel="0" collapsed="false">
      <c r="A707" s="216" t="str">
        <f aca="false">CONCATENATE(C707," ",H707)</f>
        <v> </v>
      </c>
    </row>
    <row r="708" customFormat="false" ht="15" hidden="false" customHeight="false" outlineLevel="0" collapsed="false">
      <c r="A708" s="216" t="str">
        <f aca="false">CONCATENATE(C708," ",H708)</f>
        <v> </v>
      </c>
    </row>
    <row r="709" customFormat="false" ht="15" hidden="false" customHeight="false" outlineLevel="0" collapsed="false">
      <c r="A709" s="216" t="str">
        <f aca="false">CONCATENATE(C709," ",H709)</f>
        <v> </v>
      </c>
    </row>
    <row r="710" customFormat="false" ht="15" hidden="false" customHeight="false" outlineLevel="0" collapsed="false">
      <c r="A710" s="216" t="str">
        <f aca="false">CONCATENATE(C710," ",H710)</f>
        <v> </v>
      </c>
    </row>
    <row r="711" customFormat="false" ht="15" hidden="false" customHeight="false" outlineLevel="0" collapsed="false">
      <c r="A711" s="216" t="str">
        <f aca="false">CONCATENATE(C711," ",H711)</f>
        <v> </v>
      </c>
    </row>
    <row r="712" customFormat="false" ht="15" hidden="false" customHeight="false" outlineLevel="0" collapsed="false">
      <c r="A712" s="216" t="str">
        <f aca="false">CONCATENATE(C712," ",H712)</f>
        <v> </v>
      </c>
    </row>
    <row r="713" customFormat="false" ht="15" hidden="false" customHeight="false" outlineLevel="0" collapsed="false">
      <c r="A713" s="216" t="str">
        <f aca="false">CONCATENATE(C713," ",H713)</f>
        <v> </v>
      </c>
    </row>
    <row r="714" customFormat="false" ht="15" hidden="false" customHeight="false" outlineLevel="0" collapsed="false">
      <c r="A714" s="216" t="str">
        <f aca="false">CONCATENATE(C714," ",H714)</f>
        <v> </v>
      </c>
    </row>
    <row r="715" customFormat="false" ht="15" hidden="false" customHeight="false" outlineLevel="0" collapsed="false">
      <c r="A715" s="216" t="str">
        <f aca="false">CONCATENATE(C715," ",H715)</f>
        <v> </v>
      </c>
    </row>
    <row r="716" customFormat="false" ht="15" hidden="false" customHeight="false" outlineLevel="0" collapsed="false">
      <c r="A716" s="216" t="str">
        <f aca="false">CONCATENATE(C716," ",H716)</f>
        <v> </v>
      </c>
    </row>
    <row r="717" customFormat="false" ht="15" hidden="false" customHeight="false" outlineLevel="0" collapsed="false">
      <c r="A717" s="216" t="str">
        <f aca="false">CONCATENATE(C717," ",H717)</f>
        <v> </v>
      </c>
    </row>
    <row r="718" customFormat="false" ht="15" hidden="false" customHeight="false" outlineLevel="0" collapsed="false">
      <c r="A718" s="216" t="str">
        <f aca="false">CONCATENATE(C718," ",H718)</f>
        <v> </v>
      </c>
    </row>
    <row r="719" customFormat="false" ht="15" hidden="false" customHeight="false" outlineLevel="0" collapsed="false">
      <c r="A719" s="216" t="str">
        <f aca="false">CONCATENATE(C719," ",H719)</f>
        <v> </v>
      </c>
    </row>
    <row r="720" customFormat="false" ht="15" hidden="false" customHeight="false" outlineLevel="0" collapsed="false">
      <c r="A720" s="216" t="str">
        <f aca="false">CONCATENATE(C720," ",H720)</f>
        <v> </v>
      </c>
    </row>
    <row r="721" customFormat="false" ht="15" hidden="false" customHeight="false" outlineLevel="0" collapsed="false">
      <c r="A721" s="216" t="str">
        <f aca="false">CONCATENATE(C721," ",H721)</f>
        <v> </v>
      </c>
    </row>
    <row r="722" customFormat="false" ht="15" hidden="false" customHeight="false" outlineLevel="0" collapsed="false">
      <c r="A722" s="216" t="str">
        <f aca="false">CONCATENATE(C722," ",H722)</f>
        <v> </v>
      </c>
    </row>
    <row r="723" customFormat="false" ht="15" hidden="false" customHeight="false" outlineLevel="0" collapsed="false">
      <c r="A723" s="216" t="str">
        <f aca="false">CONCATENATE(C723," ",H723)</f>
        <v> </v>
      </c>
    </row>
    <row r="724" customFormat="false" ht="15" hidden="false" customHeight="false" outlineLevel="0" collapsed="false">
      <c r="A724" s="216" t="str">
        <f aca="false">CONCATENATE(C724," ",H724)</f>
        <v> </v>
      </c>
    </row>
    <row r="725" customFormat="false" ht="15" hidden="false" customHeight="false" outlineLevel="0" collapsed="false">
      <c r="A725" s="216" t="str">
        <f aca="false">CONCATENATE(C725," ",H725)</f>
        <v> </v>
      </c>
    </row>
    <row r="726" customFormat="false" ht="15" hidden="false" customHeight="false" outlineLevel="0" collapsed="false">
      <c r="A726" s="216" t="str">
        <f aca="false">CONCATENATE(C726," ",H726)</f>
        <v> </v>
      </c>
    </row>
    <row r="727" customFormat="false" ht="15" hidden="false" customHeight="false" outlineLevel="0" collapsed="false">
      <c r="A727" s="216" t="str">
        <f aca="false">CONCATENATE(C727," ",H727)</f>
        <v> </v>
      </c>
    </row>
    <row r="728" customFormat="false" ht="15" hidden="false" customHeight="false" outlineLevel="0" collapsed="false">
      <c r="A728" s="216" t="str">
        <f aca="false">CONCATENATE(C728," ",H728)</f>
        <v> </v>
      </c>
    </row>
    <row r="729" customFormat="false" ht="15" hidden="false" customHeight="false" outlineLevel="0" collapsed="false">
      <c r="A729" s="216" t="str">
        <f aca="false">CONCATENATE(C729," ",H729)</f>
        <v> </v>
      </c>
    </row>
    <row r="730" customFormat="false" ht="15" hidden="false" customHeight="false" outlineLevel="0" collapsed="false">
      <c r="A730" s="216" t="str">
        <f aca="false">CONCATENATE(C730," ",H730)</f>
        <v> </v>
      </c>
    </row>
    <row r="731" customFormat="false" ht="15" hidden="false" customHeight="false" outlineLevel="0" collapsed="false">
      <c r="A731" s="216" t="str">
        <f aca="false">CONCATENATE(C731," ",H731)</f>
        <v> </v>
      </c>
    </row>
    <row r="732" customFormat="false" ht="15" hidden="false" customHeight="false" outlineLevel="0" collapsed="false">
      <c r="A732" s="216" t="str">
        <f aca="false">CONCATENATE(C732," ",H732)</f>
        <v> </v>
      </c>
    </row>
    <row r="733" customFormat="false" ht="15" hidden="false" customHeight="false" outlineLevel="0" collapsed="false">
      <c r="A733" s="216" t="str">
        <f aca="false">CONCATENATE(C733," ",H733)</f>
        <v> </v>
      </c>
    </row>
    <row r="734" customFormat="false" ht="15" hidden="false" customHeight="false" outlineLevel="0" collapsed="false">
      <c r="A734" s="216" t="str">
        <f aca="false">CONCATENATE(C734," ",H734)</f>
        <v> </v>
      </c>
    </row>
    <row r="735" customFormat="false" ht="15" hidden="false" customHeight="false" outlineLevel="0" collapsed="false">
      <c r="A735" s="216" t="str">
        <f aca="false">CONCATENATE(C735," ",H735)</f>
        <v> </v>
      </c>
    </row>
    <row r="736" customFormat="false" ht="15" hidden="false" customHeight="false" outlineLevel="0" collapsed="false">
      <c r="A736" s="216" t="str">
        <f aca="false">CONCATENATE(C736," ",H736)</f>
        <v> </v>
      </c>
    </row>
    <row r="737" customFormat="false" ht="15" hidden="false" customHeight="false" outlineLevel="0" collapsed="false">
      <c r="A737" s="216" t="str">
        <f aca="false">CONCATENATE(C737," ",H737)</f>
        <v> </v>
      </c>
    </row>
    <row r="738" customFormat="false" ht="15" hidden="false" customHeight="false" outlineLevel="0" collapsed="false">
      <c r="A738" s="216" t="str">
        <f aca="false">CONCATENATE(C738," ",H738)</f>
        <v> </v>
      </c>
    </row>
    <row r="739" customFormat="false" ht="15" hidden="false" customHeight="false" outlineLevel="0" collapsed="false">
      <c r="A739" s="216" t="str">
        <f aca="false">CONCATENATE(C739," ",H739)</f>
        <v> </v>
      </c>
    </row>
    <row r="740" customFormat="false" ht="15" hidden="false" customHeight="false" outlineLevel="0" collapsed="false">
      <c r="A740" s="216" t="str">
        <f aca="false">CONCATENATE(C740," ",H740)</f>
        <v> </v>
      </c>
    </row>
    <row r="741" customFormat="false" ht="15" hidden="false" customHeight="false" outlineLevel="0" collapsed="false">
      <c r="A741" s="216" t="str">
        <f aca="false">CONCATENATE(C741," ",H741)</f>
        <v> </v>
      </c>
    </row>
    <row r="742" customFormat="false" ht="15" hidden="false" customHeight="false" outlineLevel="0" collapsed="false">
      <c r="A742" s="216" t="str">
        <f aca="false">CONCATENATE(C742," ",H742)</f>
        <v> </v>
      </c>
    </row>
    <row r="743" customFormat="false" ht="15" hidden="false" customHeight="false" outlineLevel="0" collapsed="false">
      <c r="A743" s="216" t="str">
        <f aca="false">CONCATENATE(C743," ",H743)</f>
        <v> </v>
      </c>
    </row>
    <row r="744" customFormat="false" ht="15" hidden="false" customHeight="false" outlineLevel="0" collapsed="false">
      <c r="A744" s="216" t="str">
        <f aca="false">CONCATENATE(C744," ",H744)</f>
        <v> </v>
      </c>
    </row>
    <row r="745" customFormat="false" ht="15" hidden="false" customHeight="false" outlineLevel="0" collapsed="false">
      <c r="A745" s="216" t="str">
        <f aca="false">CONCATENATE(C745," ",H745)</f>
        <v> </v>
      </c>
    </row>
    <row r="746" customFormat="false" ht="15" hidden="false" customHeight="false" outlineLevel="0" collapsed="false">
      <c r="A746" s="216" t="str">
        <f aca="false">CONCATENATE(C746," ",H746)</f>
        <v> </v>
      </c>
    </row>
    <row r="747" customFormat="false" ht="15" hidden="false" customHeight="false" outlineLevel="0" collapsed="false">
      <c r="A747" s="216" t="str">
        <f aca="false">CONCATENATE(C747," ",H747)</f>
        <v> </v>
      </c>
    </row>
    <row r="748" customFormat="false" ht="15" hidden="false" customHeight="false" outlineLevel="0" collapsed="false">
      <c r="A748" s="216" t="str">
        <f aca="false">CONCATENATE(C748," ",H748)</f>
        <v> </v>
      </c>
    </row>
    <row r="749" customFormat="false" ht="15" hidden="false" customHeight="false" outlineLevel="0" collapsed="false">
      <c r="A749" s="216" t="str">
        <f aca="false">CONCATENATE(C749," ",H749)</f>
        <v> </v>
      </c>
    </row>
    <row r="750" customFormat="false" ht="15" hidden="false" customHeight="false" outlineLevel="0" collapsed="false">
      <c r="A750" s="216" t="str">
        <f aca="false">CONCATENATE(C750," ",H750)</f>
        <v> </v>
      </c>
    </row>
    <row r="751" customFormat="false" ht="15" hidden="false" customHeight="false" outlineLevel="0" collapsed="false">
      <c r="A751" s="216" t="str">
        <f aca="false">CONCATENATE(C751," ",H751)</f>
        <v> </v>
      </c>
    </row>
    <row r="752" customFormat="false" ht="15" hidden="false" customHeight="false" outlineLevel="0" collapsed="false">
      <c r="A752" s="216" t="str">
        <f aca="false">CONCATENATE(C752," ",H752)</f>
        <v> </v>
      </c>
    </row>
    <row r="753" customFormat="false" ht="15" hidden="false" customHeight="false" outlineLevel="0" collapsed="false">
      <c r="A753" s="216" t="str">
        <f aca="false">CONCATENATE(C753," ",H753)</f>
        <v> </v>
      </c>
    </row>
    <row r="754" customFormat="false" ht="15" hidden="false" customHeight="false" outlineLevel="0" collapsed="false">
      <c r="A754" s="216" t="str">
        <f aca="false">CONCATENATE(C754," ",H754)</f>
        <v> </v>
      </c>
    </row>
    <row r="755" customFormat="false" ht="15" hidden="false" customHeight="false" outlineLevel="0" collapsed="false">
      <c r="A755" s="216" t="str">
        <f aca="false">CONCATENATE(C755," ",H755)</f>
        <v> </v>
      </c>
    </row>
    <row r="756" customFormat="false" ht="15" hidden="false" customHeight="false" outlineLevel="0" collapsed="false">
      <c r="A756" s="216" t="str">
        <f aca="false">CONCATENATE(C756," ",H756)</f>
        <v> </v>
      </c>
    </row>
    <row r="757" customFormat="false" ht="15" hidden="false" customHeight="false" outlineLevel="0" collapsed="false">
      <c r="A757" s="216" t="str">
        <f aca="false">CONCATENATE(C757," ",H757)</f>
        <v> </v>
      </c>
    </row>
    <row r="758" customFormat="false" ht="15" hidden="false" customHeight="false" outlineLevel="0" collapsed="false">
      <c r="A758" s="216" t="str">
        <f aca="false">CONCATENATE(C758," ",H758)</f>
        <v> </v>
      </c>
    </row>
    <row r="759" customFormat="false" ht="15" hidden="false" customHeight="false" outlineLevel="0" collapsed="false">
      <c r="A759" s="216" t="str">
        <f aca="false">CONCATENATE(C759," ",H759)</f>
        <v> </v>
      </c>
    </row>
    <row r="760" customFormat="false" ht="15" hidden="false" customHeight="false" outlineLevel="0" collapsed="false">
      <c r="A760" s="216" t="str">
        <f aca="false">CONCATENATE(C760," ",H760)</f>
        <v> </v>
      </c>
    </row>
    <row r="761" customFormat="false" ht="15" hidden="false" customHeight="false" outlineLevel="0" collapsed="false">
      <c r="A761" s="216" t="str">
        <f aca="false">CONCATENATE(C761," ",H761)</f>
        <v> </v>
      </c>
    </row>
    <row r="762" customFormat="false" ht="15" hidden="false" customHeight="false" outlineLevel="0" collapsed="false">
      <c r="A762" s="216" t="str">
        <f aca="false">CONCATENATE(C762," ",H762)</f>
        <v> </v>
      </c>
    </row>
    <row r="763" customFormat="false" ht="15" hidden="false" customHeight="false" outlineLevel="0" collapsed="false">
      <c r="A763" s="216" t="str">
        <f aca="false">CONCATENATE(C763," ",H763)</f>
        <v> </v>
      </c>
    </row>
    <row r="764" customFormat="false" ht="15" hidden="false" customHeight="false" outlineLevel="0" collapsed="false">
      <c r="A764" s="216" t="str">
        <f aca="false">CONCATENATE(C764," ",H764)</f>
        <v> </v>
      </c>
    </row>
    <row r="765" customFormat="false" ht="15" hidden="false" customHeight="false" outlineLevel="0" collapsed="false">
      <c r="A765" s="216" t="str">
        <f aca="false">CONCATENATE(C765," ",H765)</f>
        <v> </v>
      </c>
    </row>
    <row r="766" customFormat="false" ht="15" hidden="false" customHeight="false" outlineLevel="0" collapsed="false">
      <c r="A766" s="216" t="str">
        <f aca="false">CONCATENATE(C766," ",H766)</f>
        <v> </v>
      </c>
    </row>
    <row r="767" customFormat="false" ht="15" hidden="false" customHeight="false" outlineLevel="0" collapsed="false">
      <c r="A767" s="216" t="str">
        <f aca="false">CONCATENATE(C767," ",H767)</f>
        <v> </v>
      </c>
    </row>
    <row r="768" customFormat="false" ht="15" hidden="false" customHeight="false" outlineLevel="0" collapsed="false">
      <c r="A768" s="216" t="str">
        <f aca="false">CONCATENATE(C768," ",H768)</f>
        <v> </v>
      </c>
    </row>
    <row r="769" customFormat="false" ht="15" hidden="false" customHeight="false" outlineLevel="0" collapsed="false">
      <c r="A769" s="216" t="str">
        <f aca="false">CONCATENATE(C769," ",H769)</f>
        <v> </v>
      </c>
    </row>
    <row r="770" customFormat="false" ht="15" hidden="false" customHeight="false" outlineLevel="0" collapsed="false">
      <c r="A770" s="216" t="str">
        <f aca="false">CONCATENATE(C770," ",H770)</f>
        <v> </v>
      </c>
    </row>
    <row r="771" customFormat="false" ht="15" hidden="false" customHeight="false" outlineLevel="0" collapsed="false">
      <c r="A771" s="216" t="str">
        <f aca="false">CONCATENATE(C771," ",H771)</f>
        <v> </v>
      </c>
    </row>
    <row r="772" customFormat="false" ht="15" hidden="false" customHeight="false" outlineLevel="0" collapsed="false">
      <c r="A772" s="216" t="str">
        <f aca="false">CONCATENATE(C772," ",H772)</f>
        <v> </v>
      </c>
    </row>
    <row r="773" customFormat="false" ht="15" hidden="false" customHeight="false" outlineLevel="0" collapsed="false">
      <c r="A773" s="216" t="str">
        <f aca="false">CONCATENATE(C773," ",H773)</f>
        <v> </v>
      </c>
    </row>
    <row r="774" customFormat="false" ht="15" hidden="false" customHeight="false" outlineLevel="0" collapsed="false">
      <c r="A774" s="216" t="str">
        <f aca="false">CONCATENATE(C774," ",H774)</f>
        <v> </v>
      </c>
    </row>
    <row r="775" customFormat="false" ht="15" hidden="false" customHeight="false" outlineLevel="0" collapsed="false">
      <c r="A775" s="216" t="str">
        <f aca="false">CONCATENATE(C775," ",H775)</f>
        <v> </v>
      </c>
    </row>
    <row r="776" customFormat="false" ht="15" hidden="false" customHeight="false" outlineLevel="0" collapsed="false">
      <c r="A776" s="216" t="str">
        <f aca="false">CONCATENATE(C776," ",H776)</f>
        <v> </v>
      </c>
    </row>
    <row r="777" customFormat="false" ht="15" hidden="false" customHeight="false" outlineLevel="0" collapsed="false">
      <c r="A777" s="216" t="str">
        <f aca="false">CONCATENATE(C777," ",H777)</f>
        <v> </v>
      </c>
    </row>
    <row r="778" customFormat="false" ht="15" hidden="false" customHeight="false" outlineLevel="0" collapsed="false">
      <c r="A778" s="216" t="str">
        <f aca="false">CONCATENATE(C778," ",H778)</f>
        <v> </v>
      </c>
    </row>
    <row r="779" customFormat="false" ht="15" hidden="false" customHeight="false" outlineLevel="0" collapsed="false">
      <c r="A779" s="216" t="str">
        <f aca="false">CONCATENATE(C779," ",H779)</f>
        <v> </v>
      </c>
    </row>
    <row r="780" customFormat="false" ht="15" hidden="false" customHeight="false" outlineLevel="0" collapsed="false">
      <c r="A780" s="216" t="str">
        <f aca="false">CONCATENATE(C780," ",H780)</f>
        <v> </v>
      </c>
    </row>
    <row r="781" customFormat="false" ht="15" hidden="false" customHeight="false" outlineLevel="0" collapsed="false">
      <c r="A781" s="216" t="str">
        <f aca="false">CONCATENATE(C781," ",H781)</f>
        <v> </v>
      </c>
    </row>
    <row r="782" customFormat="false" ht="15" hidden="false" customHeight="false" outlineLevel="0" collapsed="false">
      <c r="A782" s="216" t="str">
        <f aca="false">CONCATENATE(C782," ",H782)</f>
        <v> </v>
      </c>
    </row>
    <row r="783" customFormat="false" ht="15" hidden="false" customHeight="false" outlineLevel="0" collapsed="false">
      <c r="A783" s="216" t="str">
        <f aca="false">CONCATENATE(C783," ",H783)</f>
        <v> </v>
      </c>
    </row>
    <row r="784" customFormat="false" ht="15" hidden="false" customHeight="false" outlineLevel="0" collapsed="false">
      <c r="A784" s="216" t="str">
        <f aca="false">CONCATENATE(C784," ",H784)</f>
        <v> </v>
      </c>
    </row>
    <row r="785" customFormat="false" ht="15" hidden="false" customHeight="false" outlineLevel="0" collapsed="false">
      <c r="A785" s="216" t="str">
        <f aca="false">CONCATENATE(C785," ",H785)</f>
        <v> </v>
      </c>
    </row>
    <row r="786" customFormat="false" ht="15" hidden="false" customHeight="false" outlineLevel="0" collapsed="false">
      <c r="A786" s="216" t="str">
        <f aca="false">CONCATENATE(C786," ",H786)</f>
        <v> </v>
      </c>
    </row>
    <row r="787" customFormat="false" ht="15" hidden="false" customHeight="false" outlineLevel="0" collapsed="false">
      <c r="A787" s="216" t="str">
        <f aca="false">CONCATENATE(C787," ",H787)</f>
        <v> </v>
      </c>
    </row>
    <row r="788" customFormat="false" ht="15" hidden="false" customHeight="false" outlineLevel="0" collapsed="false">
      <c r="A788" s="216" t="str">
        <f aca="false">CONCATENATE(C788," ",H788)</f>
        <v> </v>
      </c>
    </row>
    <row r="789" customFormat="false" ht="15" hidden="false" customHeight="false" outlineLevel="0" collapsed="false">
      <c r="A789" s="216" t="str">
        <f aca="false">CONCATENATE(C789," ",H789)</f>
        <v> </v>
      </c>
    </row>
    <row r="790" customFormat="false" ht="15" hidden="false" customHeight="false" outlineLevel="0" collapsed="false">
      <c r="A790" s="216" t="str">
        <f aca="false">CONCATENATE(C790," ",H790)</f>
        <v> </v>
      </c>
    </row>
    <row r="791" customFormat="false" ht="15" hidden="false" customHeight="false" outlineLevel="0" collapsed="false">
      <c r="A791" s="216" t="str">
        <f aca="false">CONCATENATE(C791," ",H791)</f>
        <v> </v>
      </c>
    </row>
    <row r="792" customFormat="false" ht="15" hidden="false" customHeight="false" outlineLevel="0" collapsed="false">
      <c r="A792" s="216" t="str">
        <f aca="false">CONCATENATE(C792," ",H792)</f>
        <v> </v>
      </c>
    </row>
    <row r="793" customFormat="false" ht="15" hidden="false" customHeight="false" outlineLevel="0" collapsed="false">
      <c r="A793" s="216" t="str">
        <f aca="false">CONCATENATE(C793," ",H793)</f>
        <v> </v>
      </c>
    </row>
    <row r="794" customFormat="false" ht="15" hidden="false" customHeight="false" outlineLevel="0" collapsed="false">
      <c r="A794" s="216" t="str">
        <f aca="false">CONCATENATE(C794," ",H794)</f>
        <v> </v>
      </c>
    </row>
    <row r="795" customFormat="false" ht="15" hidden="false" customHeight="false" outlineLevel="0" collapsed="false">
      <c r="A795" s="216" t="str">
        <f aca="false">CONCATENATE(C795," ",H795)</f>
        <v> </v>
      </c>
    </row>
    <row r="796" customFormat="false" ht="15" hidden="false" customHeight="false" outlineLevel="0" collapsed="false">
      <c r="A796" s="216" t="str">
        <f aca="false">CONCATENATE(C796," ",H796)</f>
        <v> </v>
      </c>
    </row>
    <row r="797" customFormat="false" ht="15" hidden="false" customHeight="false" outlineLevel="0" collapsed="false">
      <c r="A797" s="216" t="str">
        <f aca="false">CONCATENATE(C797," ",H797)</f>
        <v> </v>
      </c>
    </row>
    <row r="798" customFormat="false" ht="15" hidden="false" customHeight="false" outlineLevel="0" collapsed="false">
      <c r="A798" s="216" t="str">
        <f aca="false">CONCATENATE(C798," ",H798)</f>
        <v> </v>
      </c>
    </row>
    <row r="799" customFormat="false" ht="15" hidden="false" customHeight="false" outlineLevel="0" collapsed="false">
      <c r="A799" s="216" t="str">
        <f aca="false">CONCATENATE(C799," ",H799)</f>
        <v> </v>
      </c>
    </row>
    <row r="800" customFormat="false" ht="15" hidden="false" customHeight="false" outlineLevel="0" collapsed="false">
      <c r="A800" s="216" t="str">
        <f aca="false">CONCATENATE(C800," ",H800)</f>
        <v> </v>
      </c>
    </row>
    <row r="801" customFormat="false" ht="15" hidden="false" customHeight="false" outlineLevel="0" collapsed="false">
      <c r="A801" s="216" t="str">
        <f aca="false">CONCATENATE(C801," ",H801)</f>
        <v> </v>
      </c>
    </row>
    <row r="802" customFormat="false" ht="15" hidden="false" customHeight="false" outlineLevel="0" collapsed="false">
      <c r="A802" s="216" t="str">
        <f aca="false">CONCATENATE(C802," ",H802)</f>
        <v> </v>
      </c>
    </row>
    <row r="803" customFormat="false" ht="15" hidden="false" customHeight="false" outlineLevel="0" collapsed="false">
      <c r="A803" s="216" t="str">
        <f aca="false">CONCATENATE(C803," ",H803)</f>
        <v> </v>
      </c>
    </row>
    <row r="804" customFormat="false" ht="15" hidden="false" customHeight="false" outlineLevel="0" collapsed="false">
      <c r="A804" s="216" t="str">
        <f aca="false">CONCATENATE(C804," ",H804)</f>
        <v> </v>
      </c>
    </row>
    <row r="805" customFormat="false" ht="15" hidden="false" customHeight="false" outlineLevel="0" collapsed="false">
      <c r="A805" s="216" t="str">
        <f aca="false">CONCATENATE(C805," ",H805)</f>
        <v> </v>
      </c>
    </row>
    <row r="806" customFormat="false" ht="15" hidden="false" customHeight="false" outlineLevel="0" collapsed="false">
      <c r="A806" s="216" t="str">
        <f aca="false">CONCATENATE(C806," ",H806)</f>
        <v> </v>
      </c>
    </row>
    <row r="807" customFormat="false" ht="15" hidden="false" customHeight="false" outlineLevel="0" collapsed="false">
      <c r="A807" s="216" t="str">
        <f aca="false">CONCATENATE(C807," ",H807)</f>
        <v> </v>
      </c>
    </row>
    <row r="808" customFormat="false" ht="15" hidden="false" customHeight="false" outlineLevel="0" collapsed="false">
      <c r="A808" s="216" t="str">
        <f aca="false">CONCATENATE(C808," ",H808)</f>
        <v> </v>
      </c>
    </row>
    <row r="809" customFormat="false" ht="15" hidden="false" customHeight="false" outlineLevel="0" collapsed="false">
      <c r="A809" s="216" t="str">
        <f aca="false">CONCATENATE(C809," ",H809)</f>
        <v> </v>
      </c>
    </row>
    <row r="810" customFormat="false" ht="15" hidden="false" customHeight="false" outlineLevel="0" collapsed="false">
      <c r="A810" s="216" t="str">
        <f aca="false">CONCATENATE(C810," ",H810)</f>
        <v> </v>
      </c>
    </row>
    <row r="811" customFormat="false" ht="15" hidden="false" customHeight="false" outlineLevel="0" collapsed="false">
      <c r="A811" s="216" t="str">
        <f aca="false">CONCATENATE(C811," ",H811)</f>
        <v> </v>
      </c>
    </row>
    <row r="812" customFormat="false" ht="15" hidden="false" customHeight="false" outlineLevel="0" collapsed="false">
      <c r="A812" s="216" t="str">
        <f aca="false">CONCATENATE(C812," ",H812)</f>
        <v> </v>
      </c>
    </row>
    <row r="813" customFormat="false" ht="15" hidden="false" customHeight="false" outlineLevel="0" collapsed="false">
      <c r="A813" s="216" t="str">
        <f aca="false">CONCATENATE(C813," ",H813)</f>
        <v> </v>
      </c>
    </row>
    <row r="814" customFormat="false" ht="15" hidden="false" customHeight="false" outlineLevel="0" collapsed="false">
      <c r="A814" s="216" t="str">
        <f aca="false">CONCATENATE(C814," ",H814)</f>
        <v> </v>
      </c>
    </row>
    <row r="815" customFormat="false" ht="15" hidden="false" customHeight="false" outlineLevel="0" collapsed="false">
      <c r="A815" s="216" t="str">
        <f aca="false">CONCATENATE(C815," ",H815)</f>
        <v> </v>
      </c>
    </row>
    <row r="816" customFormat="false" ht="15" hidden="false" customHeight="false" outlineLevel="0" collapsed="false">
      <c r="A816" s="216" t="str">
        <f aca="false">CONCATENATE(C816," ",H816)</f>
        <v> </v>
      </c>
    </row>
    <row r="817" customFormat="false" ht="15" hidden="false" customHeight="false" outlineLevel="0" collapsed="false">
      <c r="A817" s="216" t="str">
        <f aca="false">CONCATENATE(C817," ",H817)</f>
        <v> </v>
      </c>
    </row>
    <row r="818" customFormat="false" ht="15" hidden="false" customHeight="false" outlineLevel="0" collapsed="false">
      <c r="A818" s="216" t="str">
        <f aca="false">CONCATENATE(C818," ",H818)</f>
        <v> </v>
      </c>
    </row>
    <row r="819" customFormat="false" ht="15" hidden="false" customHeight="false" outlineLevel="0" collapsed="false">
      <c r="A819" s="216" t="str">
        <f aca="false">CONCATENATE(C819," ",H819)</f>
        <v> </v>
      </c>
    </row>
    <row r="820" customFormat="false" ht="15" hidden="false" customHeight="false" outlineLevel="0" collapsed="false">
      <c r="A820" s="216" t="str">
        <f aca="false">CONCATENATE(C820," ",H820)</f>
        <v> </v>
      </c>
    </row>
    <row r="821" customFormat="false" ht="15" hidden="false" customHeight="false" outlineLevel="0" collapsed="false">
      <c r="A821" s="216" t="str">
        <f aca="false">CONCATENATE(C821," ",H821)</f>
        <v> </v>
      </c>
    </row>
    <row r="822" customFormat="false" ht="15" hidden="false" customHeight="false" outlineLevel="0" collapsed="false">
      <c r="A822" s="216" t="str">
        <f aca="false">CONCATENATE(C822," ",H822)</f>
        <v> </v>
      </c>
    </row>
    <row r="823" customFormat="false" ht="15" hidden="false" customHeight="false" outlineLevel="0" collapsed="false">
      <c r="A823" s="216" t="str">
        <f aca="false">CONCATENATE(C823," ",H823)</f>
        <v> </v>
      </c>
    </row>
    <row r="824" customFormat="false" ht="15" hidden="false" customHeight="false" outlineLevel="0" collapsed="false">
      <c r="A824" s="216" t="str">
        <f aca="false">CONCATENATE(C824," ",H824)</f>
        <v> </v>
      </c>
    </row>
    <row r="825" customFormat="false" ht="15" hidden="false" customHeight="false" outlineLevel="0" collapsed="false">
      <c r="A825" s="216" t="str">
        <f aca="false">CONCATENATE(C825," ",H825)</f>
        <v> </v>
      </c>
    </row>
    <row r="826" customFormat="false" ht="15" hidden="false" customHeight="false" outlineLevel="0" collapsed="false">
      <c r="A826" s="216" t="str">
        <f aca="false">CONCATENATE(C826," ",H826)</f>
        <v> </v>
      </c>
    </row>
    <row r="827" customFormat="false" ht="15" hidden="false" customHeight="false" outlineLevel="0" collapsed="false">
      <c r="A827" s="216" t="str">
        <f aca="false">CONCATENATE(C827," ",H827)</f>
        <v> </v>
      </c>
    </row>
    <row r="828" customFormat="false" ht="15" hidden="false" customHeight="false" outlineLevel="0" collapsed="false">
      <c r="A828" s="216" t="str">
        <f aca="false">CONCATENATE(C828," ",H828)</f>
        <v> </v>
      </c>
    </row>
    <row r="829" customFormat="false" ht="15" hidden="false" customHeight="false" outlineLevel="0" collapsed="false">
      <c r="A829" s="216" t="str">
        <f aca="false">CONCATENATE(C829," ",H829)</f>
        <v> </v>
      </c>
    </row>
    <row r="830" customFormat="false" ht="15" hidden="false" customHeight="false" outlineLevel="0" collapsed="false">
      <c r="A830" s="216" t="str">
        <f aca="false">CONCATENATE(C830," ",H830)</f>
        <v> </v>
      </c>
    </row>
    <row r="831" customFormat="false" ht="15" hidden="false" customHeight="false" outlineLevel="0" collapsed="false">
      <c r="A831" s="216" t="str">
        <f aca="false">CONCATENATE(C831," ",H831)</f>
        <v> </v>
      </c>
    </row>
    <row r="832" customFormat="false" ht="15" hidden="false" customHeight="false" outlineLevel="0" collapsed="false">
      <c r="A832" s="216" t="str">
        <f aca="false">CONCATENATE(C832," ",H832)</f>
        <v> </v>
      </c>
    </row>
    <row r="833" customFormat="false" ht="15" hidden="false" customHeight="false" outlineLevel="0" collapsed="false">
      <c r="A833" s="216" t="str">
        <f aca="false">CONCATENATE(C833," ",H833)</f>
        <v> </v>
      </c>
    </row>
    <row r="834" customFormat="false" ht="15" hidden="false" customHeight="false" outlineLevel="0" collapsed="false">
      <c r="A834" s="216" t="str">
        <f aca="false">CONCATENATE(C834," ",H834)</f>
        <v> </v>
      </c>
    </row>
    <row r="835" customFormat="false" ht="15" hidden="false" customHeight="false" outlineLevel="0" collapsed="false">
      <c r="A835" s="216" t="str">
        <f aca="false">CONCATENATE(C835," ",H835)</f>
        <v> </v>
      </c>
    </row>
    <row r="836" customFormat="false" ht="15" hidden="false" customHeight="false" outlineLevel="0" collapsed="false">
      <c r="A836" s="216" t="str">
        <f aca="false">CONCATENATE(C836," ",H836)</f>
        <v> </v>
      </c>
    </row>
    <row r="837" customFormat="false" ht="15" hidden="false" customHeight="false" outlineLevel="0" collapsed="false">
      <c r="A837" s="216" t="str">
        <f aca="false">CONCATENATE(C837," ",H837)</f>
        <v> </v>
      </c>
    </row>
    <row r="838" customFormat="false" ht="15" hidden="false" customHeight="false" outlineLevel="0" collapsed="false">
      <c r="A838" s="216" t="str">
        <f aca="false">CONCATENATE(C838," ",H838)</f>
        <v> </v>
      </c>
    </row>
    <row r="839" customFormat="false" ht="15" hidden="false" customHeight="false" outlineLevel="0" collapsed="false">
      <c r="A839" s="216" t="str">
        <f aca="false">CONCATENATE(C839," ",H839)</f>
        <v> </v>
      </c>
    </row>
    <row r="840" customFormat="false" ht="15" hidden="false" customHeight="false" outlineLevel="0" collapsed="false">
      <c r="A840" s="216" t="str">
        <f aca="false">CONCATENATE(C840," ",H840)</f>
        <v> </v>
      </c>
    </row>
    <row r="841" customFormat="false" ht="15" hidden="false" customHeight="false" outlineLevel="0" collapsed="false">
      <c r="A841" s="216" t="str">
        <f aca="false">CONCATENATE(C841," ",H841)</f>
        <v> </v>
      </c>
    </row>
    <row r="842" customFormat="false" ht="15" hidden="false" customHeight="false" outlineLevel="0" collapsed="false">
      <c r="A842" s="216" t="str">
        <f aca="false">CONCATENATE(C842," ",H842)</f>
        <v> </v>
      </c>
    </row>
    <row r="843" customFormat="false" ht="15" hidden="false" customHeight="false" outlineLevel="0" collapsed="false">
      <c r="A843" s="216" t="str">
        <f aca="false">CONCATENATE(C843," ",H843)</f>
        <v> </v>
      </c>
    </row>
    <row r="844" customFormat="false" ht="15" hidden="false" customHeight="false" outlineLevel="0" collapsed="false">
      <c r="A844" s="216" t="str">
        <f aca="false">CONCATENATE(C844," ",H844)</f>
        <v> </v>
      </c>
    </row>
    <row r="845" customFormat="false" ht="15" hidden="false" customHeight="false" outlineLevel="0" collapsed="false">
      <c r="A845" s="216" t="str">
        <f aca="false">CONCATENATE(C845," ",H845)</f>
        <v> </v>
      </c>
    </row>
    <row r="846" customFormat="false" ht="15" hidden="false" customHeight="false" outlineLevel="0" collapsed="false">
      <c r="A846" s="216" t="str">
        <f aca="false">CONCATENATE(C846," ",H846)</f>
        <v> </v>
      </c>
    </row>
    <row r="847" customFormat="false" ht="15" hidden="false" customHeight="false" outlineLevel="0" collapsed="false">
      <c r="A847" s="216" t="str">
        <f aca="false">CONCATENATE(C847," ",H847)</f>
        <v> </v>
      </c>
    </row>
    <row r="848" customFormat="false" ht="15" hidden="false" customHeight="false" outlineLevel="0" collapsed="false">
      <c r="A848" s="216" t="str">
        <f aca="false">CONCATENATE(C848," ",H848)</f>
        <v> </v>
      </c>
    </row>
    <row r="849" customFormat="false" ht="15" hidden="false" customHeight="false" outlineLevel="0" collapsed="false">
      <c r="A849" s="216" t="str">
        <f aca="false">CONCATENATE(C849," ",H849)</f>
        <v> </v>
      </c>
    </row>
    <row r="850" customFormat="false" ht="15" hidden="false" customHeight="false" outlineLevel="0" collapsed="false">
      <c r="A850" s="216" t="str">
        <f aca="false">CONCATENATE(C850," ",H850)</f>
        <v> </v>
      </c>
    </row>
    <row r="851" customFormat="false" ht="15" hidden="false" customHeight="false" outlineLevel="0" collapsed="false">
      <c r="A851" s="216" t="str">
        <f aca="false">CONCATENATE(C851," ",H851)</f>
        <v> </v>
      </c>
    </row>
    <row r="852" customFormat="false" ht="15" hidden="false" customHeight="false" outlineLevel="0" collapsed="false">
      <c r="A852" s="216" t="str">
        <f aca="false">CONCATENATE(C852," ",H852)</f>
        <v> </v>
      </c>
    </row>
    <row r="853" customFormat="false" ht="15" hidden="false" customHeight="false" outlineLevel="0" collapsed="false">
      <c r="A853" s="216" t="str">
        <f aca="false">CONCATENATE(C853," ",H853)</f>
        <v> </v>
      </c>
    </row>
    <row r="854" customFormat="false" ht="15" hidden="false" customHeight="false" outlineLevel="0" collapsed="false">
      <c r="A854" s="216" t="str">
        <f aca="false">CONCATENATE(C854," ",H854)</f>
        <v> </v>
      </c>
    </row>
    <row r="855" customFormat="false" ht="15" hidden="false" customHeight="false" outlineLevel="0" collapsed="false">
      <c r="A855" s="216" t="str">
        <f aca="false">CONCATENATE(C855," ",H855)</f>
        <v> </v>
      </c>
    </row>
    <row r="856" customFormat="false" ht="15" hidden="false" customHeight="false" outlineLevel="0" collapsed="false">
      <c r="A856" s="216" t="str">
        <f aca="false">CONCATENATE(C856," ",H856)</f>
        <v> </v>
      </c>
    </row>
    <row r="857" customFormat="false" ht="15" hidden="false" customHeight="false" outlineLevel="0" collapsed="false">
      <c r="A857" s="216" t="str">
        <f aca="false">CONCATENATE(C857," ",H857)</f>
        <v> </v>
      </c>
    </row>
    <row r="858" customFormat="false" ht="15" hidden="false" customHeight="false" outlineLevel="0" collapsed="false">
      <c r="A858" s="216" t="str">
        <f aca="false">CONCATENATE(C858," ",H858)</f>
        <v> </v>
      </c>
    </row>
    <row r="859" customFormat="false" ht="15" hidden="false" customHeight="false" outlineLevel="0" collapsed="false">
      <c r="A859" s="216" t="str">
        <f aca="false">CONCATENATE(C859," ",H859)</f>
        <v> </v>
      </c>
    </row>
    <row r="860" customFormat="false" ht="15" hidden="false" customHeight="false" outlineLevel="0" collapsed="false">
      <c r="A860" s="216" t="str">
        <f aca="false">CONCATENATE(C860," ",H860)</f>
        <v> </v>
      </c>
    </row>
    <row r="861" customFormat="false" ht="15" hidden="false" customHeight="false" outlineLevel="0" collapsed="false">
      <c r="A861" s="216" t="str">
        <f aca="false">CONCATENATE(C861," ",H861)</f>
        <v> </v>
      </c>
    </row>
    <row r="862" customFormat="false" ht="15" hidden="false" customHeight="false" outlineLevel="0" collapsed="false">
      <c r="A862" s="216" t="str">
        <f aca="false">CONCATENATE(C862," ",H862)</f>
        <v> </v>
      </c>
    </row>
    <row r="863" customFormat="false" ht="15" hidden="false" customHeight="false" outlineLevel="0" collapsed="false">
      <c r="A863" s="216" t="str">
        <f aca="false">CONCATENATE(C863," ",H863)</f>
        <v> </v>
      </c>
    </row>
    <row r="864" customFormat="false" ht="15" hidden="false" customHeight="false" outlineLevel="0" collapsed="false">
      <c r="A864" s="216" t="str">
        <f aca="false">CONCATENATE(C864," ",H864)</f>
        <v> </v>
      </c>
    </row>
    <row r="865" customFormat="false" ht="15" hidden="false" customHeight="false" outlineLevel="0" collapsed="false">
      <c r="A865" s="216" t="str">
        <f aca="false">CONCATENATE(C865," ",H865)</f>
        <v> </v>
      </c>
    </row>
    <row r="866" customFormat="false" ht="15" hidden="false" customHeight="false" outlineLevel="0" collapsed="false">
      <c r="A866" s="216" t="str">
        <f aca="false">CONCATENATE(C866," ",H866)</f>
        <v> </v>
      </c>
    </row>
    <row r="867" customFormat="false" ht="15" hidden="false" customHeight="false" outlineLevel="0" collapsed="false">
      <c r="A867" s="216" t="str">
        <f aca="false">CONCATENATE(C867," ",H867)</f>
        <v> </v>
      </c>
    </row>
    <row r="868" customFormat="false" ht="15" hidden="false" customHeight="false" outlineLevel="0" collapsed="false">
      <c r="A868" s="216" t="str">
        <f aca="false">CONCATENATE(C868," ",H868)</f>
        <v> </v>
      </c>
    </row>
    <row r="869" customFormat="false" ht="15" hidden="false" customHeight="false" outlineLevel="0" collapsed="false">
      <c r="A869" s="216" t="str">
        <f aca="false">CONCATENATE(C869," ",H869)</f>
        <v> </v>
      </c>
    </row>
    <row r="870" customFormat="false" ht="15" hidden="false" customHeight="false" outlineLevel="0" collapsed="false">
      <c r="A870" s="216" t="str">
        <f aca="false">CONCATENATE(C870," ",H870)</f>
        <v> </v>
      </c>
    </row>
    <row r="871" customFormat="false" ht="15" hidden="false" customHeight="false" outlineLevel="0" collapsed="false">
      <c r="A871" s="216" t="str">
        <f aca="false">CONCATENATE(C871," ",H871)</f>
        <v> </v>
      </c>
    </row>
    <row r="872" customFormat="false" ht="15" hidden="false" customHeight="false" outlineLevel="0" collapsed="false">
      <c r="A872" s="216" t="str">
        <f aca="false">CONCATENATE(C872," ",H872)</f>
        <v> </v>
      </c>
    </row>
    <row r="873" customFormat="false" ht="15" hidden="false" customHeight="false" outlineLevel="0" collapsed="false">
      <c r="A873" s="216" t="str">
        <f aca="false">CONCATENATE(C873," ",H873)</f>
        <v> </v>
      </c>
    </row>
    <row r="874" customFormat="false" ht="15" hidden="false" customHeight="false" outlineLevel="0" collapsed="false">
      <c r="A874" s="216" t="str">
        <f aca="false">CONCATENATE(C874," ",H874)</f>
        <v> </v>
      </c>
    </row>
    <row r="875" customFormat="false" ht="15" hidden="false" customHeight="false" outlineLevel="0" collapsed="false">
      <c r="A875" s="216" t="str">
        <f aca="false">CONCATENATE(C875," ",H875)</f>
        <v> </v>
      </c>
    </row>
    <row r="876" customFormat="false" ht="15" hidden="false" customHeight="false" outlineLevel="0" collapsed="false">
      <c r="A876" s="216" t="str">
        <f aca="false">CONCATENATE(C876," ",H876)</f>
        <v> </v>
      </c>
    </row>
    <row r="877" customFormat="false" ht="15" hidden="false" customHeight="false" outlineLevel="0" collapsed="false">
      <c r="A877" s="216" t="str">
        <f aca="false">CONCATENATE(C877," ",H877)</f>
        <v> </v>
      </c>
    </row>
    <row r="878" customFormat="false" ht="15" hidden="false" customHeight="false" outlineLevel="0" collapsed="false">
      <c r="A878" s="216" t="str">
        <f aca="false">CONCATENATE(C878," ",H878)</f>
        <v> </v>
      </c>
    </row>
    <row r="879" customFormat="false" ht="15" hidden="false" customHeight="false" outlineLevel="0" collapsed="false">
      <c r="A879" s="216" t="str">
        <f aca="false">CONCATENATE(C879," ",H879)</f>
        <v> </v>
      </c>
    </row>
    <row r="880" customFormat="false" ht="15" hidden="false" customHeight="false" outlineLevel="0" collapsed="false">
      <c r="A880" s="216" t="str">
        <f aca="false">CONCATENATE(C880," ",H880)</f>
        <v> </v>
      </c>
    </row>
    <row r="881" customFormat="false" ht="15" hidden="false" customHeight="false" outlineLevel="0" collapsed="false">
      <c r="A881" s="216" t="str">
        <f aca="false">CONCATENATE(C881," ",H881)</f>
        <v> </v>
      </c>
    </row>
    <row r="882" customFormat="false" ht="15" hidden="false" customHeight="false" outlineLevel="0" collapsed="false">
      <c r="A882" s="216" t="str">
        <f aca="false">CONCATENATE(C882," ",H882)</f>
        <v> </v>
      </c>
    </row>
    <row r="883" customFormat="false" ht="15" hidden="false" customHeight="false" outlineLevel="0" collapsed="false">
      <c r="A883" s="216" t="str">
        <f aca="false">CONCATENATE(C883," ",H883)</f>
        <v> </v>
      </c>
    </row>
    <row r="884" customFormat="false" ht="15" hidden="false" customHeight="false" outlineLevel="0" collapsed="false">
      <c r="A884" s="216" t="str">
        <f aca="false">CONCATENATE(C884," ",H884)</f>
        <v> </v>
      </c>
    </row>
    <row r="885" customFormat="false" ht="15" hidden="false" customHeight="false" outlineLevel="0" collapsed="false">
      <c r="A885" s="216" t="str">
        <f aca="false">CONCATENATE(C885," ",H885)</f>
        <v> </v>
      </c>
    </row>
    <row r="886" customFormat="false" ht="15" hidden="false" customHeight="false" outlineLevel="0" collapsed="false">
      <c r="A886" s="216" t="str">
        <f aca="false">CONCATENATE(C886," ",H886)</f>
        <v> </v>
      </c>
    </row>
    <row r="887" customFormat="false" ht="15" hidden="false" customHeight="false" outlineLevel="0" collapsed="false">
      <c r="A887" s="216" t="str">
        <f aca="false">CONCATENATE(C887," ",H887)</f>
        <v> </v>
      </c>
    </row>
    <row r="888" customFormat="false" ht="15" hidden="false" customHeight="false" outlineLevel="0" collapsed="false">
      <c r="A888" s="216" t="str">
        <f aca="false">CONCATENATE(C888," ",H888)</f>
        <v> </v>
      </c>
    </row>
    <row r="889" customFormat="false" ht="15" hidden="false" customHeight="false" outlineLevel="0" collapsed="false">
      <c r="A889" s="216" t="str">
        <f aca="false">CONCATENATE(C889," ",H889)</f>
        <v> </v>
      </c>
    </row>
    <row r="890" customFormat="false" ht="15" hidden="false" customHeight="false" outlineLevel="0" collapsed="false">
      <c r="A890" s="216" t="str">
        <f aca="false">CONCATENATE(C890," ",H890)</f>
        <v> </v>
      </c>
    </row>
    <row r="891" customFormat="false" ht="15" hidden="false" customHeight="false" outlineLevel="0" collapsed="false">
      <c r="A891" s="216" t="str">
        <f aca="false">CONCATENATE(C891," ",H891)</f>
        <v> </v>
      </c>
    </row>
    <row r="892" customFormat="false" ht="15" hidden="false" customHeight="false" outlineLevel="0" collapsed="false">
      <c r="A892" s="216" t="str">
        <f aca="false">CONCATENATE(C892," ",H892)</f>
        <v> </v>
      </c>
    </row>
    <row r="893" customFormat="false" ht="15" hidden="false" customHeight="false" outlineLevel="0" collapsed="false">
      <c r="A893" s="216" t="str">
        <f aca="false">CONCATENATE(C893," ",H893)</f>
        <v> </v>
      </c>
    </row>
    <row r="894" customFormat="false" ht="15" hidden="false" customHeight="false" outlineLevel="0" collapsed="false">
      <c r="A894" s="216" t="str">
        <f aca="false">CONCATENATE(C894," ",H894)</f>
        <v> </v>
      </c>
    </row>
    <row r="895" customFormat="false" ht="15" hidden="false" customHeight="false" outlineLevel="0" collapsed="false">
      <c r="A895" s="216" t="str">
        <f aca="false">CONCATENATE(C895," ",H895)</f>
        <v> </v>
      </c>
    </row>
    <row r="896" customFormat="false" ht="15" hidden="false" customHeight="false" outlineLevel="0" collapsed="false">
      <c r="A896" s="216" t="str">
        <f aca="false">CONCATENATE(C896," ",H896)</f>
        <v> </v>
      </c>
    </row>
    <row r="897" customFormat="false" ht="15" hidden="false" customHeight="false" outlineLevel="0" collapsed="false">
      <c r="A897" s="216" t="str">
        <f aca="false">CONCATENATE(C897," ",H897)</f>
        <v> </v>
      </c>
    </row>
    <row r="898" customFormat="false" ht="15" hidden="false" customHeight="false" outlineLevel="0" collapsed="false">
      <c r="A898" s="216" t="str">
        <f aca="false">CONCATENATE(C898," ",H898)</f>
        <v> </v>
      </c>
    </row>
    <row r="899" customFormat="false" ht="15" hidden="false" customHeight="false" outlineLevel="0" collapsed="false">
      <c r="A899" s="216" t="str">
        <f aca="false">CONCATENATE(C899," ",H899)</f>
        <v> </v>
      </c>
    </row>
    <row r="900" customFormat="false" ht="15" hidden="false" customHeight="false" outlineLevel="0" collapsed="false">
      <c r="A900" s="216" t="str">
        <f aca="false">CONCATENATE(C900," ",H900)</f>
        <v> </v>
      </c>
    </row>
    <row r="901" customFormat="false" ht="15" hidden="false" customHeight="false" outlineLevel="0" collapsed="false">
      <c r="A901" s="216" t="str">
        <f aca="false">CONCATENATE(C901," ",H901)</f>
        <v> </v>
      </c>
    </row>
    <row r="902" customFormat="false" ht="15" hidden="false" customHeight="false" outlineLevel="0" collapsed="false">
      <c r="A902" s="216" t="str">
        <f aca="false">CONCATENATE(C902," ",H902)</f>
        <v> </v>
      </c>
    </row>
    <row r="903" customFormat="false" ht="15" hidden="false" customHeight="false" outlineLevel="0" collapsed="false">
      <c r="A903" s="216" t="str">
        <f aca="false">CONCATENATE(C903," ",H903)</f>
        <v> </v>
      </c>
    </row>
    <row r="904" customFormat="false" ht="15" hidden="false" customHeight="false" outlineLevel="0" collapsed="false">
      <c r="A904" s="216" t="str">
        <f aca="false">CONCATENATE(C904," ",H904)</f>
        <v> </v>
      </c>
    </row>
    <row r="905" customFormat="false" ht="15" hidden="false" customHeight="false" outlineLevel="0" collapsed="false">
      <c r="A905" s="216" t="str">
        <f aca="false">CONCATENATE(C905," ",H905)</f>
        <v> </v>
      </c>
    </row>
    <row r="906" customFormat="false" ht="15" hidden="false" customHeight="false" outlineLevel="0" collapsed="false">
      <c r="A906" s="216" t="str">
        <f aca="false">CONCATENATE(C906," ",H906)</f>
        <v> </v>
      </c>
    </row>
    <row r="907" customFormat="false" ht="15" hidden="false" customHeight="false" outlineLevel="0" collapsed="false">
      <c r="A907" s="216" t="str">
        <f aca="false">CONCATENATE(C907," ",H907)</f>
        <v> </v>
      </c>
    </row>
    <row r="908" customFormat="false" ht="15" hidden="false" customHeight="false" outlineLevel="0" collapsed="false">
      <c r="A908" s="216" t="str">
        <f aca="false">CONCATENATE(C908," ",H908)</f>
        <v> </v>
      </c>
    </row>
    <row r="909" customFormat="false" ht="15" hidden="false" customHeight="false" outlineLevel="0" collapsed="false">
      <c r="A909" s="216" t="str">
        <f aca="false">CONCATENATE(C909," ",H909)</f>
        <v> </v>
      </c>
    </row>
    <row r="910" customFormat="false" ht="15" hidden="false" customHeight="false" outlineLevel="0" collapsed="false">
      <c r="A910" s="216" t="str">
        <f aca="false">CONCATENATE(C910," ",H910)</f>
        <v> </v>
      </c>
    </row>
    <row r="911" customFormat="false" ht="15" hidden="false" customHeight="false" outlineLevel="0" collapsed="false">
      <c r="A911" s="216" t="str">
        <f aca="false">CONCATENATE(C911," ",H911)</f>
        <v> </v>
      </c>
    </row>
    <row r="912" customFormat="false" ht="15" hidden="false" customHeight="false" outlineLevel="0" collapsed="false">
      <c r="A912" s="216" t="str">
        <f aca="false">CONCATENATE(C912," ",H912)</f>
        <v> </v>
      </c>
    </row>
    <row r="913" customFormat="false" ht="15" hidden="false" customHeight="false" outlineLevel="0" collapsed="false">
      <c r="A913" s="216" t="str">
        <f aca="false">CONCATENATE(C913," ",H913)</f>
        <v> </v>
      </c>
    </row>
    <row r="914" customFormat="false" ht="15" hidden="false" customHeight="false" outlineLevel="0" collapsed="false">
      <c r="A914" s="216" t="str">
        <f aca="false">CONCATENATE(C914," ",H914)</f>
        <v> </v>
      </c>
    </row>
    <row r="915" customFormat="false" ht="15" hidden="false" customHeight="false" outlineLevel="0" collapsed="false">
      <c r="A915" s="216" t="str">
        <f aca="false">CONCATENATE(C915," ",H915)</f>
        <v> </v>
      </c>
    </row>
    <row r="916" customFormat="false" ht="15" hidden="false" customHeight="false" outlineLevel="0" collapsed="false">
      <c r="A916" s="216" t="str">
        <f aca="false">CONCATENATE(C916," ",H916)</f>
        <v> </v>
      </c>
    </row>
    <row r="917" customFormat="false" ht="15" hidden="false" customHeight="false" outlineLevel="0" collapsed="false">
      <c r="A917" s="216" t="str">
        <f aca="false">CONCATENATE(C917," ",H917)</f>
        <v> </v>
      </c>
    </row>
    <row r="918" customFormat="false" ht="15" hidden="false" customHeight="false" outlineLevel="0" collapsed="false">
      <c r="A918" s="216" t="str">
        <f aca="false">CONCATENATE(C918," ",H918)</f>
        <v> </v>
      </c>
    </row>
    <row r="919" customFormat="false" ht="15" hidden="false" customHeight="false" outlineLevel="0" collapsed="false">
      <c r="A919" s="216" t="str">
        <f aca="false">CONCATENATE(C919," ",H919)</f>
        <v> </v>
      </c>
    </row>
    <row r="920" customFormat="false" ht="15" hidden="false" customHeight="false" outlineLevel="0" collapsed="false">
      <c r="A920" s="216" t="str">
        <f aca="false">CONCATENATE(C920," ",H920)</f>
        <v> </v>
      </c>
    </row>
    <row r="921" customFormat="false" ht="15" hidden="false" customHeight="false" outlineLevel="0" collapsed="false">
      <c r="A921" s="216" t="str">
        <f aca="false">CONCATENATE(C921," ",H921)</f>
        <v> </v>
      </c>
    </row>
    <row r="922" customFormat="false" ht="15" hidden="false" customHeight="false" outlineLevel="0" collapsed="false">
      <c r="A922" s="216" t="str">
        <f aca="false">CONCATENATE(C922," ",H922)</f>
        <v> </v>
      </c>
    </row>
    <row r="923" customFormat="false" ht="15" hidden="false" customHeight="false" outlineLevel="0" collapsed="false">
      <c r="A923" s="216" t="str">
        <f aca="false">CONCATENATE(C923," ",H923)</f>
        <v> </v>
      </c>
    </row>
    <row r="924" customFormat="false" ht="15" hidden="false" customHeight="false" outlineLevel="0" collapsed="false">
      <c r="A924" s="216" t="str">
        <f aca="false">CONCATENATE(C924," ",H924)</f>
        <v> </v>
      </c>
    </row>
    <row r="925" customFormat="false" ht="15" hidden="false" customHeight="false" outlineLevel="0" collapsed="false">
      <c r="A925" s="216" t="str">
        <f aca="false">CONCATENATE(C925," ",H925)</f>
        <v> </v>
      </c>
    </row>
    <row r="926" customFormat="false" ht="15" hidden="false" customHeight="false" outlineLevel="0" collapsed="false">
      <c r="A926" s="216" t="str">
        <f aca="false">CONCATENATE(C926," ",H926)</f>
        <v> </v>
      </c>
    </row>
    <row r="927" customFormat="false" ht="15" hidden="false" customHeight="false" outlineLevel="0" collapsed="false">
      <c r="A927" s="216" t="str">
        <f aca="false">CONCATENATE(C927," ",H927)</f>
        <v> </v>
      </c>
    </row>
    <row r="928" customFormat="false" ht="15" hidden="false" customHeight="false" outlineLevel="0" collapsed="false">
      <c r="A928" s="216" t="str">
        <f aca="false">CONCATENATE(C928," ",H928)</f>
        <v> </v>
      </c>
    </row>
    <row r="929" customFormat="false" ht="15" hidden="false" customHeight="false" outlineLevel="0" collapsed="false">
      <c r="A929" s="216" t="str">
        <f aca="false">CONCATENATE(C929," ",H929)</f>
        <v> </v>
      </c>
    </row>
    <row r="930" customFormat="false" ht="15" hidden="false" customHeight="false" outlineLevel="0" collapsed="false">
      <c r="A930" s="216" t="str">
        <f aca="false">CONCATENATE(C930," ",H930)</f>
        <v> </v>
      </c>
    </row>
    <row r="931" customFormat="false" ht="15" hidden="false" customHeight="false" outlineLevel="0" collapsed="false">
      <c r="A931" s="216" t="str">
        <f aca="false">CONCATENATE(C931," ",H931)</f>
        <v> </v>
      </c>
    </row>
    <row r="932" customFormat="false" ht="15" hidden="false" customHeight="false" outlineLevel="0" collapsed="false">
      <c r="A932" s="216" t="str">
        <f aca="false">CONCATENATE(C932," ",H932)</f>
        <v> </v>
      </c>
    </row>
    <row r="933" customFormat="false" ht="15" hidden="false" customHeight="false" outlineLevel="0" collapsed="false">
      <c r="A933" s="216" t="str">
        <f aca="false">CONCATENATE(C933," ",H933)</f>
        <v> </v>
      </c>
    </row>
    <row r="934" customFormat="false" ht="15" hidden="false" customHeight="false" outlineLevel="0" collapsed="false">
      <c r="A934" s="216" t="str">
        <f aca="false">CONCATENATE(C934," ",H934)</f>
        <v> </v>
      </c>
    </row>
    <row r="935" customFormat="false" ht="15" hidden="false" customHeight="false" outlineLevel="0" collapsed="false">
      <c r="A935" s="216" t="str">
        <f aca="false">CONCATENATE(C935," ",H935)</f>
        <v> </v>
      </c>
    </row>
    <row r="936" customFormat="false" ht="15" hidden="false" customHeight="false" outlineLevel="0" collapsed="false">
      <c r="A936" s="216" t="str">
        <f aca="false">CONCATENATE(C936," ",H936)</f>
        <v> </v>
      </c>
    </row>
    <row r="937" customFormat="false" ht="15" hidden="false" customHeight="false" outlineLevel="0" collapsed="false">
      <c r="A937" s="216" t="str">
        <f aca="false">CONCATENATE(C937," ",H937)</f>
        <v> </v>
      </c>
    </row>
    <row r="938" customFormat="false" ht="15" hidden="false" customHeight="false" outlineLevel="0" collapsed="false">
      <c r="A938" s="216" t="str">
        <f aca="false">CONCATENATE(C938," ",H938)</f>
        <v> </v>
      </c>
    </row>
    <row r="939" customFormat="false" ht="15" hidden="false" customHeight="false" outlineLevel="0" collapsed="false">
      <c r="A939" s="216" t="str">
        <f aca="false">CONCATENATE(C939," ",H939)</f>
        <v> </v>
      </c>
    </row>
    <row r="940" customFormat="false" ht="15" hidden="false" customHeight="false" outlineLevel="0" collapsed="false">
      <c r="A940" s="216" t="str">
        <f aca="false">CONCATENATE(C940," ",H940)</f>
        <v> </v>
      </c>
    </row>
    <row r="941" customFormat="false" ht="15" hidden="false" customHeight="false" outlineLevel="0" collapsed="false">
      <c r="A941" s="216" t="str">
        <f aca="false">CONCATENATE(C941," ",H941)</f>
        <v> </v>
      </c>
    </row>
    <row r="942" customFormat="false" ht="15" hidden="false" customHeight="false" outlineLevel="0" collapsed="false">
      <c r="A942" s="216" t="str">
        <f aca="false">CONCATENATE(C942," ",H942)</f>
        <v> </v>
      </c>
    </row>
    <row r="943" customFormat="false" ht="15" hidden="false" customHeight="false" outlineLevel="0" collapsed="false">
      <c r="A943" s="216" t="str">
        <f aca="false">CONCATENATE(C943," ",H943)</f>
        <v> </v>
      </c>
    </row>
    <row r="944" customFormat="false" ht="15" hidden="false" customHeight="false" outlineLevel="0" collapsed="false">
      <c r="A944" s="216" t="str">
        <f aca="false">CONCATENATE(C944," ",H944)</f>
        <v> </v>
      </c>
    </row>
    <row r="945" customFormat="false" ht="15" hidden="false" customHeight="false" outlineLevel="0" collapsed="false">
      <c r="A945" s="216" t="str">
        <f aca="false">CONCATENATE(C945," ",H945)</f>
        <v> </v>
      </c>
    </row>
    <row r="946" customFormat="false" ht="15" hidden="false" customHeight="false" outlineLevel="0" collapsed="false">
      <c r="A946" s="216" t="str">
        <f aca="false">CONCATENATE(C946," ",H946)</f>
        <v> </v>
      </c>
    </row>
    <row r="947" customFormat="false" ht="15" hidden="false" customHeight="false" outlineLevel="0" collapsed="false">
      <c r="A947" s="216" t="str">
        <f aca="false">CONCATENATE(C947," ",H947)</f>
        <v> </v>
      </c>
    </row>
    <row r="948" customFormat="false" ht="15" hidden="false" customHeight="false" outlineLevel="0" collapsed="false">
      <c r="A948" s="216" t="str">
        <f aca="false">CONCATENATE(C948," ",H948)</f>
        <v> </v>
      </c>
    </row>
    <row r="949" customFormat="false" ht="15" hidden="false" customHeight="false" outlineLevel="0" collapsed="false">
      <c r="A949" s="216" t="str">
        <f aca="false">CONCATENATE(C949," ",H949)</f>
        <v> </v>
      </c>
    </row>
    <row r="950" customFormat="false" ht="15" hidden="false" customHeight="false" outlineLevel="0" collapsed="false">
      <c r="A950" s="216" t="str">
        <f aca="false">CONCATENATE(C950," ",H950)</f>
        <v> </v>
      </c>
    </row>
    <row r="951" customFormat="false" ht="15" hidden="false" customHeight="false" outlineLevel="0" collapsed="false">
      <c r="A951" s="216" t="str">
        <f aca="false">CONCATENATE(C951," ",H951)</f>
        <v> </v>
      </c>
    </row>
    <row r="952" customFormat="false" ht="15" hidden="false" customHeight="false" outlineLevel="0" collapsed="false">
      <c r="A952" s="216" t="str">
        <f aca="false">CONCATENATE(C952," ",H952)</f>
        <v> </v>
      </c>
    </row>
    <row r="953" customFormat="false" ht="15" hidden="false" customHeight="false" outlineLevel="0" collapsed="false">
      <c r="A953" s="216" t="str">
        <f aca="false">CONCATENATE(C953," ",H953)</f>
        <v> </v>
      </c>
    </row>
    <row r="954" customFormat="false" ht="15" hidden="false" customHeight="false" outlineLevel="0" collapsed="false">
      <c r="A954" s="216" t="str">
        <f aca="false">CONCATENATE(C954," ",H954)</f>
        <v> </v>
      </c>
    </row>
    <row r="955" customFormat="false" ht="15" hidden="false" customHeight="false" outlineLevel="0" collapsed="false">
      <c r="A955" s="216" t="str">
        <f aca="false">CONCATENATE(C955," ",H955)</f>
        <v> </v>
      </c>
    </row>
    <row r="956" customFormat="false" ht="15" hidden="false" customHeight="false" outlineLevel="0" collapsed="false">
      <c r="A956" s="216" t="str">
        <f aca="false">CONCATENATE(C956," ",H956)</f>
        <v> </v>
      </c>
    </row>
    <row r="957" customFormat="false" ht="15" hidden="false" customHeight="false" outlineLevel="0" collapsed="false">
      <c r="A957" s="216" t="str">
        <f aca="false">CONCATENATE(C957," ",H957)</f>
        <v> </v>
      </c>
    </row>
    <row r="958" customFormat="false" ht="15" hidden="false" customHeight="false" outlineLevel="0" collapsed="false">
      <c r="A958" s="216" t="str">
        <f aca="false">CONCATENATE(C958," ",H958)</f>
        <v> </v>
      </c>
    </row>
    <row r="959" customFormat="false" ht="15" hidden="false" customHeight="false" outlineLevel="0" collapsed="false">
      <c r="A959" s="216" t="str">
        <f aca="false">CONCATENATE(C959," ",H959)</f>
        <v> </v>
      </c>
    </row>
    <row r="960" customFormat="false" ht="15" hidden="false" customHeight="false" outlineLevel="0" collapsed="false">
      <c r="A960" s="216" t="str">
        <f aca="false">CONCATENATE(C960," ",H960)</f>
        <v> </v>
      </c>
    </row>
    <row r="961" customFormat="false" ht="15" hidden="false" customHeight="false" outlineLevel="0" collapsed="false">
      <c r="A961" s="216" t="str">
        <f aca="false">CONCATENATE(C961," ",H961)</f>
        <v> </v>
      </c>
    </row>
    <row r="962" customFormat="false" ht="15" hidden="false" customHeight="false" outlineLevel="0" collapsed="false">
      <c r="A962" s="216" t="str">
        <f aca="false">CONCATENATE(C962," ",H962)</f>
        <v> </v>
      </c>
    </row>
    <row r="963" customFormat="false" ht="15" hidden="false" customHeight="false" outlineLevel="0" collapsed="false">
      <c r="A963" s="216" t="str">
        <f aca="false">CONCATENATE(C963," ",H963)</f>
        <v> </v>
      </c>
    </row>
    <row r="964" customFormat="false" ht="15" hidden="false" customHeight="false" outlineLevel="0" collapsed="false">
      <c r="A964" s="216" t="str">
        <f aca="false">CONCATENATE(C964," ",H964)</f>
        <v> </v>
      </c>
    </row>
    <row r="965" customFormat="false" ht="15" hidden="false" customHeight="false" outlineLevel="0" collapsed="false">
      <c r="A965" s="216" t="str">
        <f aca="false">CONCATENATE(C965," ",H965)</f>
        <v> </v>
      </c>
    </row>
    <row r="966" customFormat="false" ht="15" hidden="false" customHeight="false" outlineLevel="0" collapsed="false">
      <c r="A966" s="216" t="str">
        <f aca="false">CONCATENATE(C966," ",H966)</f>
        <v> </v>
      </c>
    </row>
    <row r="967" customFormat="false" ht="15" hidden="false" customHeight="false" outlineLevel="0" collapsed="false">
      <c r="A967" s="216" t="str">
        <f aca="false">CONCATENATE(C967," ",H967)</f>
        <v> </v>
      </c>
    </row>
    <row r="968" customFormat="false" ht="15" hidden="false" customHeight="false" outlineLevel="0" collapsed="false">
      <c r="A968" s="216" t="str">
        <f aca="false">CONCATENATE(C968," ",H968)</f>
        <v> </v>
      </c>
    </row>
    <row r="969" customFormat="false" ht="15" hidden="false" customHeight="false" outlineLevel="0" collapsed="false">
      <c r="A969" s="216" t="str">
        <f aca="false">CONCATENATE(C969," ",H969)</f>
        <v> </v>
      </c>
    </row>
    <row r="970" customFormat="false" ht="15" hidden="false" customHeight="false" outlineLevel="0" collapsed="false">
      <c r="A970" s="216" t="str">
        <f aca="false">CONCATENATE(C970," ",H970)</f>
        <v> </v>
      </c>
    </row>
    <row r="971" customFormat="false" ht="15" hidden="false" customHeight="false" outlineLevel="0" collapsed="false">
      <c r="A971" s="216" t="str">
        <f aca="false">CONCATENATE(C971," ",H971)</f>
        <v> </v>
      </c>
    </row>
    <row r="972" customFormat="false" ht="15" hidden="false" customHeight="false" outlineLevel="0" collapsed="false">
      <c r="A972" s="216" t="str">
        <f aca="false">CONCATENATE(C972," ",H972)</f>
        <v> </v>
      </c>
    </row>
    <row r="973" customFormat="false" ht="15" hidden="false" customHeight="false" outlineLevel="0" collapsed="false">
      <c r="A973" s="216" t="str">
        <f aca="false">CONCATENATE(C973," ",H973)</f>
        <v> </v>
      </c>
    </row>
    <row r="974" customFormat="false" ht="15" hidden="false" customHeight="false" outlineLevel="0" collapsed="false">
      <c r="A974" s="216" t="str">
        <f aca="false">CONCATENATE(C974," ",H974)</f>
        <v> </v>
      </c>
    </row>
    <row r="975" customFormat="false" ht="15" hidden="false" customHeight="false" outlineLevel="0" collapsed="false">
      <c r="A975" s="216" t="str">
        <f aca="false">CONCATENATE(C975," ",H975)</f>
        <v> </v>
      </c>
    </row>
    <row r="976" customFormat="false" ht="15" hidden="false" customHeight="false" outlineLevel="0" collapsed="false">
      <c r="A976" s="216" t="str">
        <f aca="false">CONCATENATE(C976," ",H976)</f>
        <v> </v>
      </c>
    </row>
    <row r="977" customFormat="false" ht="15" hidden="false" customHeight="false" outlineLevel="0" collapsed="false">
      <c r="A977" s="216" t="str">
        <f aca="false">CONCATENATE(C977," ",H977)</f>
        <v> </v>
      </c>
    </row>
    <row r="978" customFormat="false" ht="15" hidden="false" customHeight="false" outlineLevel="0" collapsed="false">
      <c r="A978" s="216" t="str">
        <f aca="false">CONCATENATE(C978," ",H978)</f>
        <v> </v>
      </c>
    </row>
    <row r="979" customFormat="false" ht="15" hidden="false" customHeight="false" outlineLevel="0" collapsed="false">
      <c r="A979" s="216" t="str">
        <f aca="false">CONCATENATE(C979," ",H979)</f>
        <v> </v>
      </c>
    </row>
    <row r="980" customFormat="false" ht="15" hidden="false" customHeight="false" outlineLevel="0" collapsed="false">
      <c r="A980" s="216" t="str">
        <f aca="false">CONCATENATE(C980," ",H980)</f>
        <v> </v>
      </c>
    </row>
    <row r="981" customFormat="false" ht="15" hidden="false" customHeight="false" outlineLevel="0" collapsed="false">
      <c r="A981" s="216" t="str">
        <f aca="false">CONCATENATE(C981," ",H981)</f>
        <v> </v>
      </c>
    </row>
    <row r="982" customFormat="false" ht="15" hidden="false" customHeight="false" outlineLevel="0" collapsed="false">
      <c r="A982" s="216" t="str">
        <f aca="false">CONCATENATE(C982," ",H982)</f>
        <v> </v>
      </c>
    </row>
    <row r="983" customFormat="false" ht="15" hidden="false" customHeight="false" outlineLevel="0" collapsed="false">
      <c r="A983" s="216" t="str">
        <f aca="false">CONCATENATE(C983," ",H983)</f>
        <v> </v>
      </c>
    </row>
    <row r="984" customFormat="false" ht="15" hidden="false" customHeight="false" outlineLevel="0" collapsed="false">
      <c r="A984" s="216" t="str">
        <f aca="false">CONCATENATE(C984," ",H984)</f>
        <v> </v>
      </c>
    </row>
    <row r="985" customFormat="false" ht="15" hidden="false" customHeight="false" outlineLevel="0" collapsed="false">
      <c r="A985" s="216" t="str">
        <f aca="false">CONCATENATE(C985," ",H985)</f>
        <v> </v>
      </c>
    </row>
    <row r="986" customFormat="false" ht="15" hidden="false" customHeight="false" outlineLevel="0" collapsed="false">
      <c r="A986" s="216" t="str">
        <f aca="false">CONCATENATE(C986," ",H986)</f>
        <v> </v>
      </c>
    </row>
    <row r="987" customFormat="false" ht="15" hidden="false" customHeight="false" outlineLevel="0" collapsed="false">
      <c r="A987" s="216" t="str">
        <f aca="false">CONCATENATE(C987," ",H987)</f>
        <v> </v>
      </c>
    </row>
    <row r="988" customFormat="false" ht="15" hidden="false" customHeight="false" outlineLevel="0" collapsed="false">
      <c r="A988" s="216" t="str">
        <f aca="false">CONCATENATE(C988," ",H988)</f>
        <v> </v>
      </c>
    </row>
    <row r="989" customFormat="false" ht="15" hidden="false" customHeight="false" outlineLevel="0" collapsed="false">
      <c r="A989" s="216" t="str">
        <f aca="false">CONCATENATE(C989," ",H989)</f>
        <v> </v>
      </c>
    </row>
    <row r="990" customFormat="false" ht="15" hidden="false" customHeight="false" outlineLevel="0" collapsed="false">
      <c r="A990" s="216" t="str">
        <f aca="false">CONCATENATE(C990," ",H990)</f>
        <v> </v>
      </c>
    </row>
    <row r="991" customFormat="false" ht="15" hidden="false" customHeight="false" outlineLevel="0" collapsed="false">
      <c r="A991" s="216" t="str">
        <f aca="false">CONCATENATE(C991," ",H991)</f>
        <v> </v>
      </c>
    </row>
    <row r="992" customFormat="false" ht="15" hidden="false" customHeight="false" outlineLevel="0" collapsed="false">
      <c r="A992" s="216" t="str">
        <f aca="false">CONCATENATE(C992," ",H992)</f>
        <v> </v>
      </c>
    </row>
    <row r="993" customFormat="false" ht="15" hidden="false" customHeight="false" outlineLevel="0" collapsed="false">
      <c r="A993" s="216" t="str">
        <f aca="false">CONCATENATE(C993," ",H993)</f>
        <v> </v>
      </c>
    </row>
    <row r="994" customFormat="false" ht="15" hidden="false" customHeight="false" outlineLevel="0" collapsed="false">
      <c r="A994" s="216" t="str">
        <f aca="false">CONCATENATE(C994," ",H994)</f>
        <v> </v>
      </c>
    </row>
    <row r="995" customFormat="false" ht="15" hidden="false" customHeight="false" outlineLevel="0" collapsed="false">
      <c r="A995" s="216" t="str">
        <f aca="false">CONCATENATE(C995," ",H995)</f>
        <v> </v>
      </c>
    </row>
    <row r="996" customFormat="false" ht="15" hidden="false" customHeight="false" outlineLevel="0" collapsed="false">
      <c r="A996" s="216" t="str">
        <f aca="false">CONCATENATE(C996," ",H996)</f>
        <v> </v>
      </c>
    </row>
    <row r="997" customFormat="false" ht="15" hidden="false" customHeight="false" outlineLevel="0" collapsed="false">
      <c r="A997" s="216" t="str">
        <f aca="false">CONCATENATE(C997," ",H997)</f>
        <v> </v>
      </c>
    </row>
    <row r="998" customFormat="false" ht="15" hidden="false" customHeight="false" outlineLevel="0" collapsed="false">
      <c r="A998" s="216" t="str">
        <f aca="false">CONCATENATE(C998," ",H998)</f>
        <v> </v>
      </c>
    </row>
  </sheetData>
  <autoFilter ref="A2:W998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/>
  <dc:description/>
  <dc:language>en-US</dc:language>
  <cp:lastModifiedBy/>
  <dcterms:modified xsi:type="dcterms:W3CDTF">2026-10-14T15:15:54Z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