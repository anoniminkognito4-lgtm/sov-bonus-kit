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<sst xmlns="http://schemas.openxmlformats.org/spreadsheetml/2006/main" count="296" uniqueCount="134">
  <si>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</si>
  <si>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</si>
  <si>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</si>
  <si>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</si>
  <si>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</si>
  <si>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</si>
  <si>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</si>
  <si>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</si>
  <si>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</si>
  <si>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</si>
  <si>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</si>
  <si>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Восемь</t>
  </si>
  <si>
    <t xml:space="preserve">Тестова Девять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</si>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</sst>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1.2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6000000000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482840.547945206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6000000 000 ₽. Коэф. фин. рез. = 1.2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482840.547945206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6000000 000 ₽. Коэф. фин. рез. = 1.2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45916</v>
      </c>
      <c r="I18" s="65" t="n">
        <f aca="false">IF(H18="","",G18-H18)</f>
        <v>90</v>
      </c>
      <c r="J18" s="69" t="n">
        <f aca="false">IF(H18="","",(DATE(YEAR(H18),ROUNDUP(MONTH(H18)/3,0)*3+2,10)-IF(WEEKDAY(DATE(YEAR(H18),ROUNDUP(MONTH(H18)/3,0)*3+2,10),2)&gt;5,WEEKDAY(DATE(YEAR(H18),ROUNDUP(MONTH(H18)/3,0)*3+2,10),2)-5,0)))</f>
        <v>45971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724260.821917808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6000000 000 ₽. Коэф. фин. рез. = 1.2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603550.684931507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482840.547945206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6000000 000 ₽. Коэф. фин. рез. = 1.2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46081</v>
      </c>
      <c r="I20" s="65" t="n">
        <f aca="false">IF(H20="","",G20-H20)</f>
        <v>90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46150</v>
      </c>
      <c r="K20" s="70" t="n">
        <v>46171</v>
      </c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724260.821917808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6000000 000 ₽. Коэф. фин. рез. = 1.2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603550.684931507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482840.547945206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6000000 000 ₽. Коэф. фин. рез. = 1.2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944061.369863013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6000000 000 ₽. Коэф. фин. рез. = 1.2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786717.808219178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567756.908568212</v>
      </c>
      <c r="O37" s="96" t="n">
        <v>6000000000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946261.514280352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300662.469536498</v>
      </c>
      <c r="O38" s="109" t="n">
        <v>6000000000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316899.179943704</v>
      </c>
      <c r="O39" s="121" t="n">
        <v>6000000000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Восемь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95726.2236367048</v>
      </c>
      <c r="F6" s="138" t="n">
        <f aca="false">IF($B6="","",IF(OR($C6="МП",$C6="РУПК"),"",VLOOKUP($B6,$B$39:$S$1353,13,0)))</f>
        <v>64647.127070745</v>
      </c>
      <c r="G6" s="138" t="n">
        <f aca="false">IF($B6="","",IF(OR($C6="МП",$C6="РУПК"),"",VLOOKUP($B6,$B$39:$S$1353,16,0)))</f>
        <v>80883.8374779508</v>
      </c>
      <c r="H6" s="138" t="n">
        <f aca="false">IF(B6="","",SUM(D6:G6))</f>
        <v>241257.188185401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Девять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159543.706061175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159543.706061175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Восемь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95726.2236367048</v>
      </c>
      <c r="L39" s="147"/>
      <c r="M39" s="147"/>
      <c r="N39" s="146" t="n">
        <f aca="false">SUM(N46:N69)</f>
        <v>64647.127070745</v>
      </c>
      <c r="O39" s="147"/>
      <c r="P39" s="147"/>
      <c r="Q39" s="146" t="n">
        <f aca="false">SUM(Q46:Q69)</f>
        <v>80883.8374779508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482840.547945206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237816.98630137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23925.0403753049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14360.23665228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16679.7667104522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482840.547945206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237816.98630137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19025.3589041096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11910.3959166823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14229.9259748546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724260.821917808</v>
      </c>
      <c r="D48" s="175" t="n">
        <f aca="false">IFERROR(IF(VLOOKUP(B48,калькулятор!E:J,6,0)=0,"",VLOOKUP(B48,калькулятор!E:J,6,0)),"")</f>
        <v>45971</v>
      </c>
      <c r="E48" s="176" t="n">
        <f aca="false">IF(B48="Финальная веха*",0,IF(D48="","",IF(B48="","",IFERROR(C48/67*33,""))))</f>
        <v>356725.479452055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28538.0383561644</v>
      </c>
      <c r="L48" s="178" t="n">
        <f aca="false">I48</f>
        <v>0.16</v>
      </c>
      <c r="M48" s="179" t="n">
        <f aca="false">IFERROR(N44-$D48,"")</f>
        <v>457</v>
      </c>
      <c r="N48" s="180" t="n">
        <f aca="false">IFERROR(IF(OR(C39="КУПК",C39="КУПК (РП/ЗРП)"),E48*L48/365*M48*0.25,0),"")</f>
        <v>17865.5938750235</v>
      </c>
      <c r="O48" s="181" t="n">
        <f aca="false">I48</f>
        <v>0.16</v>
      </c>
      <c r="P48" s="179" t="n">
        <f aca="false">IFERROR(Q44-$D48,"")</f>
        <v>546</v>
      </c>
      <c r="Q48" s="180" t="n">
        <f aca="false">IFERROR(IF(OR(C39="КУПК",C39="КУПК (РП/ЗРП)"),E48*O48/365*P48*0.25,0),"")</f>
        <v>21344.8889622819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482840.547945206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237816.98630137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9695.11440045037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7245.27366485269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9564.80372302496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724260.821917808</v>
      </c>
      <c r="D50" s="175" t="n">
        <f aca="false">IFERROR(IF(VLOOKUP(B50,калькулятор!E:J,6,0)=0,"",VLOOKUP(B50,калькулятор!E:J,6,0)),"")</f>
        <v>46150</v>
      </c>
      <c r="E50" s="176" t="n">
        <f aca="false">IF(B50="Финальная веха*",0,IF(D50="","",IF(B50="","",IFERROR(C50/67*33,""))))</f>
        <v>356725.479452055</v>
      </c>
      <c r="F50" s="182"/>
      <c r="H50" s="130"/>
      <c r="I50" s="178" t="n">
        <v>0.16</v>
      </c>
      <c r="J50" s="179" t="n">
        <f aca="false">IFERROR(K44-D50,"")</f>
        <v>186</v>
      </c>
      <c r="K50" s="180" t="n">
        <f aca="false">IFERROR(IF(OR(C39="КУПК",C39="КУПК (РП/ЗРП)"),E50*I50/365*J50*0.5,E50*I50/365*J50),"")</f>
        <v>14542.6716006755</v>
      </c>
      <c r="L50" s="178" t="n">
        <f aca="false">I50</f>
        <v>0.16</v>
      </c>
      <c r="M50" s="179" t="n">
        <f aca="false">IFERROR(N44-$D50,"")</f>
        <v>278</v>
      </c>
      <c r="N50" s="180" t="n">
        <f aca="false">IFERROR(IF(OR(C39="КУПК",C39="КУПК (РП/ЗРП)"),E50*L50/365*M50*0.25,0),"")</f>
        <v>10867.910497279</v>
      </c>
      <c r="O50" s="181" t="n">
        <f aca="false">I50</f>
        <v>0.16</v>
      </c>
      <c r="P50" s="179" t="n">
        <f aca="false">IFERROR(Q44-$D50,"")</f>
        <v>367</v>
      </c>
      <c r="Q50" s="180" t="n">
        <f aca="false">IFERROR(IF(OR(C39="КУПК",C39="КУПК (РП/ЗРП)"),E50*O50/365*P50*0.25,0),"")</f>
        <v>14347.2055845374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482840.547945206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237816.98630137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2397.71646462751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4717.24652279977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944061.369863013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472030.684931507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236015.342465753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236015.342465753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236015.342465753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236015.342465753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Девять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159543.706061175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39875.0672921749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603550.684931507</v>
      </c>
      <c r="D82" s="175" t="n">
        <f aca="false">IFERROR(IF(VLOOKUP(B82,калькулятор!E:J,6,0)=0,"",VLOOKUP(B82,калькулятор!E:J,6,0)),"")</f>
        <v>45971</v>
      </c>
      <c r="E82" s="176" t="n">
        <f aca="false">IF(B82="Финальная веха*",0,IF(D82="","",IF(B82="","",IFERROR(C82/67*33,""))))</f>
        <v>297271.232876712</v>
      </c>
      <c r="F82" s="177"/>
      <c r="H82" s="130"/>
      <c r="I82" s="178" t="n">
        <v>0.16</v>
      </c>
      <c r="J82" s="179" t="n">
        <f aca="false">IFERROR(K78-D82,"")</f>
        <v>365</v>
      </c>
      <c r="K82" s="180" t="n">
        <f aca="false">IFERROR(IF(OR(C73="КУПК",C73="КУПК (РП/ЗРП)"),E82*I82/365*J82*0.5,E82*I82/365*J82),"")</f>
        <v>47563.397260274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16158.5240007506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603550.684931507</v>
      </c>
      <c r="D84" s="175" t="n">
        <f aca="false">IFERROR(IF(VLOOKUP(B84,калькулятор!E:J,6,0)=0,"",VLOOKUP(B84,калькулятор!E:J,6,0)),"")</f>
        <v>46150</v>
      </c>
      <c r="E84" s="176" t="n">
        <f aca="false">IF(B84="Финальная веха*",0,IF(D84="","",IF(B84="","",IFERROR(C84/67*33,""))))</f>
        <v>297271.232876712</v>
      </c>
      <c r="F84" s="182"/>
      <c r="H84" s="130"/>
      <c r="I84" s="178" t="n">
        <v>0.16</v>
      </c>
      <c r="J84" s="179" t="n">
        <f aca="false">IFERROR(K78-D84,"")</f>
        <v>186</v>
      </c>
      <c r="K84" s="180" t="n">
        <f aca="false">IFERROR(IF(OR(C73="КУПК",C73="КУПК (РП/ЗРП)"),E84*I84/365*J84*0.5,E84*I84/365*J84),"")</f>
        <v>24237.7860011259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786717.808219178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786717.808219178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45971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46150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186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