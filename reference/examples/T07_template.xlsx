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<sst xmlns="http://schemas.openxmlformats.org/spreadsheetml/2006/main" count="293" uniqueCount="133">
  <si>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</si>
  <si>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</si>
  <si>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</si>
  <si>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</si>
  <si>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</si>
  <si>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</si>
  <si>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</si>
  <si>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</si>
  <si>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</si>
  <si>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</si>
  <si>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Одиннадцать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</si>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</sst>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45962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334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2196164.38356164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1471430.1369863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724734.246575342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str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6" s="56" t="str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Веха не участвует в расчете выплат за квартал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str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7" s="56" t="str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Веха не участвует в расчете выплат за квартал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str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8" s="73" t="str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Веха не участвует в расчете выплат за квартал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46132</v>
      </c>
      <c r="I19" s="65" t="n">
        <f aca="false">IF(H19="","",G19-H19)</f>
        <v>-20</v>
      </c>
      <c r="J19" s="69" t="n">
        <f aca="false">IF(H19="","",DATE(YEAR(H19),ROUNDUP(MONTH(H19)/3,0)*3+2,10))</f>
        <v>46244</v>
      </c>
      <c r="K19" s="70" t="n">
        <v>46142</v>
      </c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539524.383561644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490476.712328767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490476.712328767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675686.575342466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348072.961200976</v>
      </c>
      <c r="O37" s="96" t="n">
        <v>5000000000</v>
      </c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45962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2196164.38356164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Одиннадцать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10229.6735297429</v>
      </c>
      <c r="F6" s="138" t="n">
        <f aca="false">IF($B6="","",IF(OR($C6="МП",$C6="РУПК"),"",VLOOKUP($B6,$B$39:$S$1353,13,0)))</f>
        <v>12665.3100844436</v>
      </c>
      <c r="G6" s="138" t="n">
        <f aca="false">IF($B6="","",IF(OR($C6="МП",$C6="РУПК"),"",VLOOKUP($B6,$B$39:$S$1353,16,0)))</f>
        <v>19969.572317508</v>
      </c>
      <c r="H6" s="138" t="n">
        <f aca="false">IF(B6="","",SUM(D6:G6))</f>
        <v>42864.5559316945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Одиннадцать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10229.6735297429</v>
      </c>
      <c r="L39" s="147"/>
      <c r="M39" s="147"/>
      <c r="N39" s="146" t="n">
        <f aca="false">SUM(N46:N69)</f>
        <v>12665.3100844436</v>
      </c>
      <c r="O39" s="147"/>
      <c r="P39" s="147"/>
      <c r="Q39" s="146" t="n">
        <f aca="false">SUM(Q46:Q69)</f>
        <v>19969.572317508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2196164.38356164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45962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n">
        <f aca="false">D68</f>
        <v>46428</v>
      </c>
      <c r="O44" s="163" t="s">
        <v>54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str">
        <f aca="false">IFERROR(VLOOKUP(B46,калькулятор!E:OJ,MATCH($B39,калькулятор!$3:$3,0)-5,0),"")</f>
        <v>Веха не участвует в расчете выплат за квартал</v>
      </c>
      <c r="D46" s="175" t="n">
        <f aca="false">IFERROR(IF(VLOOKUP(B46,калькулятор!E:J,6,0)=0,"",VLOOKUP(B46,калькулятор!E:J,6,0)),"")</f>
        <v>45879</v>
      </c>
      <c r="E46" s="176" t="str">
        <f aca="false">IF(B46="Финальная веха*",0,IF(D46="","",IF(B46="","",IFERROR(C46/67*33,""))))</f>
        <v/>
      </c>
      <c r="F46" s="177"/>
      <c r="H46" s="130"/>
      <c r="I46" s="178" t="n">
        <v>0.16</v>
      </c>
      <c r="J46" s="179" t="n">
        <f aca="false">IFERROR(K44-D46,"")</f>
        <v>457</v>
      </c>
      <c r="K46" s="180" t="str">
        <f aca="false">IFERROR(IF(OR(C39="КУПК",C39="КУПК (РП/ЗРП)"),E46*I46/365*J46*0.5,E46*I46/365*J46),"")</f>
        <v/>
      </c>
      <c r="L46" s="178" t="n">
        <f aca="false">I46</f>
        <v>0.16</v>
      </c>
      <c r="M46" s="179" t="n">
        <f aca="false">IFERROR(N44-$D46,"")</f>
        <v>549</v>
      </c>
      <c r="N46" s="180" t="str">
        <f aca="false">IFERROR(IF(OR(C39="КУПК",C39="КУПК (РП/ЗРП)"),E46*L46/365*M46*0.25,0),"")</f>
        <v/>
      </c>
      <c r="O46" s="181" t="n">
        <f aca="false">I46</f>
        <v>0.16</v>
      </c>
      <c r="P46" s="179" t="n">
        <f aca="false">IFERROR(Q44-$D46,"")</f>
        <v>638</v>
      </c>
      <c r="Q46" s="180" t="str">
        <f aca="false">IFERROR(IF(OR(C39="КУПК",C39="КУПК (РП/ЗРП)"),E46*O46/365*P46*0.25,0),"")</f>
        <v/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str">
        <f aca="false">IFERROR(VLOOKUP(B47,калькулятор!E:OJ,MATCH($B39,калькулятор!$3:$3,0)-5,0),"")</f>
        <v>Веха не участвует в расчете выплат за квартал</v>
      </c>
      <c r="D47" s="175" t="n">
        <f aca="false">IFERROR(IF(VLOOKUP(B47,калькулятор!E:J,6,0)=0,"",VLOOKUP(B47,калькулятор!E:J,6,0)),"")</f>
        <v>45971</v>
      </c>
      <c r="E47" s="176" t="str">
        <f aca="false">IF(B47="Финальная веха*",0,IF(D47="","",IF(B47="","",IFERROR(C47/67*33,""))))</f>
        <v/>
      </c>
      <c r="F47" s="177"/>
      <c r="H47" s="130"/>
      <c r="I47" s="178" t="n">
        <v>0.16</v>
      </c>
      <c r="J47" s="179" t="n">
        <f aca="false">IFERROR(K44-D47,"")</f>
        <v>365</v>
      </c>
      <c r="K47" s="180" t="str">
        <f aca="false">IFERROR(IF(OR(C39="КУПК",C39="КУПК (РП/ЗРП)"),E47*I47/365*J47*0.5,E47*I47/365*J47),"")</f>
        <v/>
      </c>
      <c r="L47" s="178" t="n">
        <f aca="false">I47</f>
        <v>0.16</v>
      </c>
      <c r="M47" s="179" t="n">
        <f aca="false">IFERROR(N44-$D47,"")</f>
        <v>457</v>
      </c>
      <c r="N47" s="180" t="str">
        <f aca="false">IFERROR(IF(OR(C39="КУПК",C39="КУПК (РП/ЗРП)"),E47*L47/365*M47*0.25,0),"")</f>
        <v/>
      </c>
      <c r="O47" s="181" t="n">
        <f aca="false">I47</f>
        <v>0.16</v>
      </c>
      <c r="P47" s="179" t="n">
        <f aca="false">IFERROR(Q44-$D47,"")</f>
        <v>546</v>
      </c>
      <c r="Q47" s="180" t="str">
        <f aca="false">IFERROR(IF(OR(C39="КУПК",C39="КУПК (РП/ЗРП)"),E47*O47/365*P47*0.25,0),"")</f>
        <v/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str">
        <f aca="false">IFERROR(VLOOKUP(B48,калькулятор!E:OJ,MATCH($B39,калькулятор!$3:$3,0)-5,0),"")</f>
        <v>Веха не участвует в расчете выплат за квартал</v>
      </c>
      <c r="D48" s="175" t="n">
        <f aca="false">IFERROR(IF(VLOOKUP(B48,калькулятор!E:J,6,0)=0,"",VLOOKUP(B48,калькулятор!E:J,6,0)),"")</f>
        <v>46063</v>
      </c>
      <c r="E48" s="176" t="str">
        <f aca="false">IF(B48="Финальная веха*",0,IF(D48="","",IF(B48="","",IFERROR(C48/67*33,""))))</f>
        <v/>
      </c>
      <c r="F48" s="177"/>
      <c r="H48" s="130"/>
      <c r="I48" s="178" t="n">
        <v>0.16</v>
      </c>
      <c r="J48" s="179" t="n">
        <f aca="false">IFERROR(K44-D48,"")</f>
        <v>273</v>
      </c>
      <c r="K48" s="180" t="str">
        <f aca="false">IFERROR(IF(OR(C39="КУПК",C39="КУПК (РП/ЗРП)"),E48*I48/365*J48*0.5,E48*I48/365*J48),"")</f>
        <v/>
      </c>
      <c r="L48" s="178" t="n">
        <f aca="false">I48</f>
        <v>0.16</v>
      </c>
      <c r="M48" s="179" t="n">
        <f aca="false">IFERROR(N44-$D48,"")</f>
        <v>365</v>
      </c>
      <c r="N48" s="180" t="str">
        <f aca="false">IFERROR(IF(OR(C39="КУПК",C39="КУПК (РП/ЗРП)"),E48*L48/365*M48*0.25,0),"")</f>
        <v/>
      </c>
      <c r="O48" s="181" t="n">
        <f aca="false">I48</f>
        <v>0.16</v>
      </c>
      <c r="P48" s="179" t="n">
        <f aca="false">IFERROR(Q44-$D48,"")</f>
        <v>454</v>
      </c>
      <c r="Q48" s="180" t="str">
        <f aca="false">IFERROR(IF(OR(C39="КУПК",C39="КУПК (РП/ЗРП)"),E48*O48/365*P48*0.25,0),"")</f>
        <v/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539524.383561644</v>
      </c>
      <c r="D49" s="175" t="n">
        <f aca="false">IFERROR(IF(VLOOKUP(B49,калькулятор!E:J,6,0)=0,"",VLOOKUP(B49,калькулятор!E:J,6,0)),"")</f>
        <v>46244</v>
      </c>
      <c r="E49" s="176" t="n">
        <f aca="false">IF(B49="Финальная веха*",0,IF(D49="","",IF(B49="","",IFERROR(C49/67*33,""))))</f>
        <v>265735.890410959</v>
      </c>
      <c r="F49" s="177"/>
      <c r="H49" s="130"/>
      <c r="I49" s="178" t="n">
        <v>0.16</v>
      </c>
      <c r="J49" s="179" t="n">
        <f aca="false">IFERROR(K44-D49,"")</f>
        <v>92</v>
      </c>
      <c r="K49" s="180" t="n">
        <f aca="false">IFERROR(IF(OR(C39="КУПК",C39="КУПК (РП/ЗРП)"),E49*I49/365*J49*0.5,E49*I49/365*J49),"")</f>
        <v>5358.40042034153</v>
      </c>
      <c r="L49" s="178" t="n">
        <f aca="false">I49</f>
        <v>0.16</v>
      </c>
      <c r="M49" s="179" t="n">
        <f aca="false">IFERROR(N44-$D49,"")</f>
        <v>184</v>
      </c>
      <c r="N49" s="180" t="n">
        <f aca="false">IFERROR(IF(OR(C39="КУПК",C39="КУПК (РП/ЗРП)"),E49*L49/365*M49*0.25,0),"")</f>
        <v>5358.40042034153</v>
      </c>
      <c r="O49" s="181" t="n">
        <f aca="false">I49</f>
        <v>0.16</v>
      </c>
      <c r="P49" s="179" t="n">
        <f aca="false">IFERROR(Q44-$D49,"")</f>
        <v>273</v>
      </c>
      <c r="Q49" s="180" t="n">
        <f aca="false">IFERROR(IF(OR(C39="КУПК",C39="КУПК (РП/ЗРП)"),E49*O49/365*P49*0.25,0),"")</f>
        <v>7950.23540626759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490476.712328767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241578.082191781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4871.27310940139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4871.27310940139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7227.48673297054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490476.712328767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241578.082191781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2435.6365547007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4791.85017826985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675686.575342466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337843.287671233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168921.643835616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168921.643835616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168921.643835616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168921.643835616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46244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92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46244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92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89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