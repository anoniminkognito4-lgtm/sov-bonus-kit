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<sst xmlns="http://schemas.openxmlformats.org/spreadsheetml/2006/main" count="298" uniqueCount="135">
  <si>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</si>
  <si>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</si>
  <si>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</si>
  <si>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</si>
  <si>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</si>
  <si>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</si>
  <si>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</si>
  <si>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</si>
  <si>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</si>
  <si>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</si>
  <si>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Тридцать Четыре</t>
  </si>
  <si>
    <t xml:space="preserve">Тестова Тридцать Пять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</si>
  <si>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</si>
  <si>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</si>
  <si>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</si>
  <si>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</si>
  <si>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</si>
  <si>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Дата ухода с проекта (этапа)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</si>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</sst>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5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 t="s">
        <v>7</v>
      </c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 t="s">
        <v>11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5000000000</v>
      </c>
    </row>
    <row r="5" s="7" customFormat="true" ht="15" hidden="false" customHeight="true" outlineLevel="1" collapsed="false">
      <c r="A5" s="1"/>
      <c r="H5" s="23"/>
      <c r="I5" s="23"/>
      <c r="K5" s="18" t="s">
        <v>12</v>
      </c>
      <c r="L5" s="18"/>
      <c r="M5" s="18"/>
      <c r="N5" s="18"/>
      <c r="O5" s="24" t="n">
        <v>45748</v>
      </c>
      <c r="P5" s="18" t="s">
        <v>12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13</v>
      </c>
      <c r="L6" s="18"/>
      <c r="M6" s="18"/>
      <c r="N6" s="18"/>
      <c r="O6" s="27" t="n">
        <f aca="false">(MAX($G15:$G39,K15:K39))-O$5+1</f>
        <v>548</v>
      </c>
      <c r="P6" s="18" t="s">
        <v>13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14</v>
      </c>
      <c r="L7" s="18"/>
      <c r="M7" s="18"/>
      <c r="N7" s="18"/>
      <c r="O7" s="29" t="n">
        <f aca="false">IFERROR(SUM(O$45:O$79),0)</f>
        <v>3603287.67123288</v>
      </c>
      <c r="P7" s="18" t="s">
        <v>14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15</v>
      </c>
      <c r="L8" s="18"/>
      <c r="M8" s="18"/>
      <c r="N8" s="18"/>
      <c r="O8" s="29" t="n">
        <f aca="false">O$7*0.67</f>
        <v>2414202.73972603</v>
      </c>
      <c r="P8" s="18" t="s">
        <v>15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16</v>
      </c>
      <c r="L9" s="18"/>
      <c r="M9" s="18"/>
      <c r="N9" s="18"/>
      <c r="O9" s="29" t="n">
        <f aca="false">O$7-O$8</f>
        <v>1189084.93150685</v>
      </c>
      <c r="P9" s="18" t="s">
        <v>16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>1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5000000000</v>
      </c>
      <c r="U11" s="32"/>
    </row>
    <row r="12" customFormat="false" ht="15" hidden="false" customHeight="true" outlineLevel="1" collapsed="false">
      <c r="K12" s="18" t="s">
        <v>17</v>
      </c>
      <c r="L12" s="18"/>
      <c r="M12" s="18"/>
      <c r="N12" s="18"/>
      <c r="O12" s="33" t="n">
        <v>46112</v>
      </c>
      <c r="P12" s="18" t="s">
        <v>17</v>
      </c>
      <c r="Q12" s="18"/>
      <c r="R12" s="18"/>
      <c r="S12" s="18"/>
      <c r="T12" s="33" t="n">
        <v>46112</v>
      </c>
    </row>
    <row r="13" customFormat="false" ht="15" hidden="false" customHeight="true" outlineLevel="1" collapsed="false">
      <c r="K13" s="18" t="str">
        <f aca="false">IF(O12="","","Остаток бонуса на конец этапа")</f>
        <v>Остаток бонуса на конец этапа</v>
      </c>
      <c r="L13" s="18"/>
      <c r="M13" s="18"/>
      <c r="N13" s="18"/>
      <c r="O13" s="29" t="n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>790531.506849315</v>
      </c>
      <c r="P13" s="18" t="str">
        <f aca="false">IF(T12="","","Остаток бонуса на конец этапа")</f>
        <v>Остаток бонуса на конец этапа</v>
      </c>
      <c r="Q13" s="18"/>
      <c r="R13" s="18"/>
      <c r="S13" s="18"/>
      <c r="T13" s="29" t="n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>790531.506849315</v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5000000 000 ₽. Коэф. фин. рез. = 1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5000000 000 ₽. Коэф. фин. рез. = 1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5000000 000 ₽. Коэф. фин. рез. = 1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5000000 000 ₽. Коэф. фин. рез. = 1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0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0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0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0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46275</v>
      </c>
      <c r="I36" s="76" t="n">
        <f aca="false">IF(H36="","",G36-H36)</f>
        <v>20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790531.506849315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790531.506849315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5000000 000 ₽. Коэф. фин. рез. = 1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46275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450995.286470257</v>
      </c>
      <c r="O37" s="96" t="n">
        <v>4750000000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450995.286470257</v>
      </c>
      <c r="T37" s="96" t="n">
        <v>5500000000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46365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233490.031450554</v>
      </c>
      <c r="O38" s="109" t="n">
        <v>4750000000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n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233490.031450554</v>
      </c>
      <c r="T38" s="109" t="n">
        <v>5500000000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46455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241221.798311128</v>
      </c>
      <c r="O39" s="121" t="n">
        <v>4750000000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n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>241221.798311128</v>
      </c>
      <c r="T39" s="121" t="n">
        <v>5500000000</v>
      </c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Тридцать Четыре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55729.5330455996</v>
      </c>
      <c r="F6" s="138" t="n">
        <f aca="false">IF($B6="","",IF(OR($C6="МП",$C6="РУПК"),"",VLOOKUP($B6,$B$39:$S$1353,13,0)))</f>
        <v>35857.1547382248</v>
      </c>
      <c r="G6" s="138" t="n">
        <f aca="false">IF($B6="","",IF(OR($C6="МП",$C6="РУПК"),"",VLOOKUP($B6,$B$39:$S$1353,16,0)))</f>
        <v>43588.921598799</v>
      </c>
      <c r="H6" s="138" t="n">
        <f aca="false">IF(B6="","",SUM(D6:G6))</f>
        <v>135175.609382623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Тридцать Пять</v>
      </c>
      <c r="C7" s="137" t="str">
        <f aca="false">IFERROR(INDEX(калькулятор!$1:$3,1,MATCH(B7,калькулятор!$3:$3,0)),"")</f>
        <v>КУПК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55729.5330455996</v>
      </c>
      <c r="F7" s="138" t="n">
        <f aca="false">IF($B7="","",IF(OR($C7="МП",$C7="РУПК"),"",VLOOKUP($B7,$B$39:$S$1353,13,0)))</f>
        <v>35857.1547382248</v>
      </c>
      <c r="G7" s="138" t="n">
        <f aca="false">IF($B7="","",IF(OR($C7="МП",$C7="РУПК"),"",VLOOKUP($B7,$B$39:$S$1353,16,0)))</f>
        <v>43588.921598799</v>
      </c>
      <c r="H7" s="138" t="n">
        <f aca="false">IF(B7="","",SUM(D7:G7))</f>
        <v>135175.609382623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Тридцать Четыре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55729.5330455996</v>
      </c>
      <c r="L39" s="147"/>
      <c r="M39" s="147"/>
      <c r="N39" s="146" t="n">
        <f aca="false">SUM(N46:N69)</f>
        <v>35857.1547382248</v>
      </c>
      <c r="O39" s="147"/>
      <c r="P39" s="147"/>
      <c r="Q39" s="146" t="n">
        <f aca="false">SUM(Q46:Q69)</f>
        <v>43588.921598799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19937.5336460875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11966.8638769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13899.8055920435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8079.26200037531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6037.72805404391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7970.66976918747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0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0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0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0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0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790531.506849315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395265.753424658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197632.876712329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197632.876712329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197632.876712329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197632.876712329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Тридцать Пять</v>
      </c>
      <c r="C73" s="142" t="str">
        <f aca="false">INDEX(калькулятор!$1:$3,1,MATCH(B73,калькулятор!$3:$3,0))</f>
        <v>КУПК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55729.5330455996</v>
      </c>
      <c r="L73" s="147"/>
      <c r="M73" s="147"/>
      <c r="N73" s="146" t="n">
        <f aca="false">SUM(N80:N103)</f>
        <v>35857.1547382248</v>
      </c>
      <c r="O73" s="147"/>
      <c r="P73" s="147"/>
      <c r="Q73" s="146" t="n">
        <f aca="false">SUM(Q80:Q103)</f>
        <v>43588.921598799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n">
        <f aca="false">D102</f>
        <v>46428</v>
      </c>
      <c r="O78" s="163" t="s">
        <v>56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19937.5336460875</v>
      </c>
      <c r="L80" s="178" t="n">
        <f aca="false">I80</f>
        <v>0.16</v>
      </c>
      <c r="M80" s="179" t="n">
        <f aca="false">IFERROR(N78-$D80,"")</f>
        <v>551</v>
      </c>
      <c r="N80" s="180" t="n">
        <f aca="false">IFERROR(IF(OR(C73="КУПК",C73="КУПК (РП/ЗРП)"),E80*L80/365*M80*0.25,0),"")</f>
        <v>11966.8638769</v>
      </c>
      <c r="O80" s="181" t="n">
        <f aca="false">I80</f>
        <v>0.16</v>
      </c>
      <c r="P80" s="179" t="n">
        <f aca="false">IFERROR(Q78-$D80,"")</f>
        <v>640</v>
      </c>
      <c r="Q80" s="180" t="n">
        <f aca="false">IFERROR(IF(OR(C73="КУПК",C73="КУПК (РП/ЗРП)"),E80*O80/365*P80*0.25,0),"")</f>
        <v>13899.8055920435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15854.4657534247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9925.32993056859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11858.2716457121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11858.2716457121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7927.23287671233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9860.17459185589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8079.26200037531</v>
      </c>
      <c r="L83" s="178" t="n">
        <f aca="false">I83</f>
        <v>0.16</v>
      </c>
      <c r="M83" s="179" t="n">
        <f aca="false">IFERROR(N78-$D83,"")</f>
        <v>278</v>
      </c>
      <c r="N83" s="180" t="n">
        <f aca="false">IFERROR(IF(OR(C73="КУПК",C73="КУПК (РП/ЗРП)"),E83*L83/365*M83*0.25,0),"")</f>
        <v>6037.72805404391</v>
      </c>
      <c r="O83" s="181" t="n">
        <f aca="false">I83</f>
        <v>0.16</v>
      </c>
      <c r="P83" s="179" t="n">
        <f aca="false">IFERROR(Q78-$D83,"")</f>
        <v>367</v>
      </c>
      <c r="Q83" s="180" t="n">
        <f aca="false">IFERROR(IF(OR(C73="КУПК",C73="КУПК (РП/ЗРП)"),E83*O83/365*P83*0.25,0),"")</f>
        <v>7970.66976918747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0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0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0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0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0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790531.506849315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395265.753424658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197632.876712329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197632.876712329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197632.876712329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197632.876712329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90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91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19</v>
      </c>
      <c r="J2" s="261" t="s">
        <v>103</v>
      </c>
      <c r="K2" s="261" t="s">
        <v>104</v>
      </c>
      <c r="L2" s="262" t="s">
        <v>23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3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121</v>
      </c>
      <c r="P3" s="264" t="s">
        <v>121</v>
      </c>
      <c r="Q3" s="264" t="s">
        <v>3</v>
      </c>
      <c r="R3" s="264" t="s">
        <v>121</v>
      </c>
      <c r="S3" s="264" t="s">
        <v>121</v>
      </c>
      <c r="T3" s="264" t="s">
        <v>121</v>
      </c>
      <c r="U3" s="264" t="s">
        <v>121</v>
      </c>
      <c r="V3" s="264" t="s">
        <v>3</v>
      </c>
      <c r="W3" s="264" t="s">
        <v>122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123</v>
      </c>
      <c r="D4" s="264" t="s">
        <v>123</v>
      </c>
      <c r="E4" s="264" t="s">
        <v>3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124</v>
      </c>
      <c r="M4" s="265" t="s">
        <v>125</v>
      </c>
      <c r="N4" s="264"/>
      <c r="O4" s="264" t="s">
        <v>121</v>
      </c>
      <c r="P4" s="264" t="s">
        <v>121</v>
      </c>
      <c r="Q4" s="264" t="s">
        <v>3</v>
      </c>
      <c r="R4" s="264" t="s">
        <v>121</v>
      </c>
      <c r="S4" s="264" t="s">
        <v>121</v>
      </c>
      <c r="T4" s="264" t="s">
        <v>121</v>
      </c>
      <c r="U4" s="264" t="s">
        <v>121</v>
      </c>
      <c r="V4" s="264" t="s">
        <v>3</v>
      </c>
      <c r="W4" s="264" t="s">
        <v>122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126</v>
      </c>
      <c r="D5" s="264" t="s">
        <v>126</v>
      </c>
      <c r="E5" s="264" t="s">
        <v>3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127</v>
      </c>
      <c r="M5" s="265" t="s">
        <v>128</v>
      </c>
      <c r="N5" s="264"/>
      <c r="O5" s="264" t="s">
        <v>121</v>
      </c>
      <c r="P5" s="264" t="s">
        <v>3</v>
      </c>
      <c r="Q5" s="264" t="s">
        <v>3</v>
      </c>
      <c r="R5" s="264" t="s">
        <v>121</v>
      </c>
      <c r="S5" s="264" t="s">
        <v>3</v>
      </c>
      <c r="T5" s="264" t="s">
        <v>121</v>
      </c>
      <c r="U5" s="264" t="s">
        <v>121</v>
      </c>
      <c r="V5" s="264" t="s">
        <v>3</v>
      </c>
      <c r="W5" s="264" t="s">
        <v>122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129</v>
      </c>
      <c r="D6" s="264" t="s">
        <v>129</v>
      </c>
      <c r="E6" s="264" t="s">
        <v>3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130</v>
      </c>
      <c r="M6" s="265" t="s">
        <v>131</v>
      </c>
      <c r="N6" s="264"/>
      <c r="O6" s="264" t="s">
        <v>121</v>
      </c>
      <c r="P6" s="264" t="s">
        <v>3</v>
      </c>
      <c r="Q6" s="264" t="s">
        <v>3</v>
      </c>
      <c r="R6" s="264" t="s">
        <v>121</v>
      </c>
      <c r="S6" s="264" t="s">
        <v>3</v>
      </c>
      <c r="T6" s="264" t="s">
        <v>121</v>
      </c>
      <c r="U6" s="264" t="s">
        <v>121</v>
      </c>
      <c r="V6" s="264" t="s">
        <v>3</v>
      </c>
      <c r="W6" s="264" t="s">
        <v>122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132</v>
      </c>
      <c r="D7" s="264" t="s">
        <v>132</v>
      </c>
      <c r="E7" s="264" t="s">
        <v>121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133</v>
      </c>
      <c r="M7" s="265" t="s">
        <v>134</v>
      </c>
      <c r="N7" s="264"/>
      <c r="O7" s="264" t="s">
        <v>121</v>
      </c>
      <c r="P7" s="264" t="s">
        <v>3</v>
      </c>
      <c r="Q7" s="264" t="s">
        <v>3</v>
      </c>
      <c r="R7" s="264" t="s">
        <v>121</v>
      </c>
      <c r="S7" s="264" t="s">
        <v>3</v>
      </c>
      <c r="T7" s="264" t="s">
        <v>121</v>
      </c>
      <c r="U7" s="264" t="s">
        <v>121</v>
      </c>
      <c r="V7" s="264" t="s">
        <v>3</v>
      </c>
      <c r="W7" s="264" t="s">
        <v>122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