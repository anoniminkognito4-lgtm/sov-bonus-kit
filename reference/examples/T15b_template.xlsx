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<sst xmlns="http://schemas.openxmlformats.org/spreadsheetml/2006/main" count="294" uniqueCount="134">
  <si>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</si>
  <si>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</si>
  <si>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</si>
  <si>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</si>
  <si>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</si>
  <si>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</si>
  <si>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</si>
  <si>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</si>
  <si>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</si>
  <si>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</si>
  <si>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Тестова Двадцать Пять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</si>
  <si>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</si>
  <si>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</si>
  <si>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</si>
  <si>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</si>
  <si>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</si>
  <si>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Дата ухода с проекта (этапа)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</si>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</sst>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2414202.73972603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1189084.93150685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 t="s">
        <v>16</v>
      </c>
      <c r="L12" s="18"/>
      <c r="M12" s="18"/>
      <c r="N12" s="18"/>
      <c r="O12" s="33" t="n">
        <v>46112</v>
      </c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>Остаток бонуса на конец этапа</v>
      </c>
      <c r="L13" s="18"/>
      <c r="M13" s="18"/>
      <c r="N13" s="18"/>
      <c r="O13" s="29" t="n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>0</v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17</v>
      </c>
      <c r="L14" s="35"/>
      <c r="M14" s="35"/>
      <c r="N14" s="35"/>
      <c r="O14" s="36"/>
      <c r="P14" s="35" t="s">
        <v>17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18</v>
      </c>
      <c r="D15" s="40" t="s">
        <v>19</v>
      </c>
      <c r="E15" s="41" t="s">
        <v>20</v>
      </c>
      <c r="F15" s="41" t="s">
        <v>21</v>
      </c>
      <c r="G15" s="41" t="s">
        <v>22</v>
      </c>
      <c r="H15" s="41" t="s">
        <v>23</v>
      </c>
      <c r="I15" s="41" t="s">
        <v>24</v>
      </c>
      <c r="J15" s="42" t="s">
        <v>25</v>
      </c>
      <c r="K15" s="43" t="s">
        <v>26</v>
      </c>
      <c r="L15" s="44"/>
      <c r="M15" s="40" t="s">
        <v>27</v>
      </c>
      <c r="N15" s="40" t="s">
        <v>28</v>
      </c>
      <c r="O15" s="45" t="str">
        <f aca="false">IF(OR(O1="КУПК (РП/ЗРП)",O1="КУПК"),"Комментарий/NPV/KPI","Комментарий")</f>
        <v>Комментарий</v>
      </c>
      <c r="P15" s="43" t="s">
        <v>26</v>
      </c>
      <c r="Q15" s="44"/>
      <c r="R15" s="40" t="s">
        <v>27</v>
      </c>
      <c r="S15" s="40" t="s">
        <v>28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29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30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31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32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33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34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35</v>
      </c>
      <c r="F36" s="78"/>
      <c r="G36" s="79" t="n">
        <v>46295</v>
      </c>
      <c r="H36" s="79" t="n">
        <v>46325</v>
      </c>
      <c r="I36" s="76" t="n">
        <f aca="false">IF(H36="","",G36-H36)</f>
        <v>-30</v>
      </c>
      <c r="J36" s="80" t="n">
        <f aca="false">IF(H36="","",DATE(YEAR(H36),ROUNDUP(MONTH(H36)/3,0)*3+2,10))</f>
        <v>46428</v>
      </c>
      <c r="K36" s="81"/>
      <c r="L36" s="82"/>
      <c r="M36" s="83" t="s">
        <v>36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0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36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37</v>
      </c>
      <c r="F37" s="89"/>
      <c r="G37" s="88"/>
      <c r="H37" s="90" t="n">
        <f aca="false">IF(H36="","",H36)</f>
        <v>46325</v>
      </c>
      <c r="I37" s="88"/>
      <c r="J37" s="91" t="n">
        <f aca="false">IF(H37="","",DATE(YEAR(H37),ROUNDUP(MONTH(H37)/3,0)*3+2,10))</f>
        <v>46428</v>
      </c>
      <c r="K37" s="92"/>
      <c r="L37" s="93"/>
      <c r="M37" s="94" t="s">
        <v>38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167058.288459373</v>
      </c>
      <c r="O37" s="96"/>
      <c r="P37" s="92"/>
      <c r="Q37" s="93"/>
      <c r="R37" s="94" t="s">
        <v>38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39</v>
      </c>
      <c r="F38" s="100"/>
      <c r="G38" s="101" t="s">
        <v>40</v>
      </c>
      <c r="H38" s="102" t="n">
        <f aca="false">IF(H36="","",H36+90)</f>
        <v>46415</v>
      </c>
      <c r="I38" s="103"/>
      <c r="J38" s="104" t="n">
        <f aca="false">IF(H38="","",DATE(YEAR(H38),ROUNDUP(MONTH(H38)/3,0)*3+2,10))</f>
        <v>46517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41</v>
      </c>
      <c r="F39" s="113"/>
      <c r="G39" s="114" t="s">
        <v>42</v>
      </c>
      <c r="H39" s="115" t="n">
        <f aca="false">IF(H36="","",H38+90)</f>
        <v>46505</v>
      </c>
      <c r="I39" s="111"/>
      <c r="J39" s="116" t="n">
        <f aca="false">IF(H39="","",DATE(YEAR(H39),ROUNDUP(MONTH(H39)/3,0)*3+2,10))</f>
        <v>46609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43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44</v>
      </c>
      <c r="L44" s="124" t="s">
        <v>45</v>
      </c>
      <c r="M44" s="124" t="s">
        <v>46</v>
      </c>
      <c r="N44" s="124" t="s">
        <v>47</v>
      </c>
      <c r="O44" s="124" t="s">
        <v>48</v>
      </c>
      <c r="P44" s="124" t="s">
        <v>44</v>
      </c>
      <c r="Q44" s="124" t="s">
        <v>45</v>
      </c>
      <c r="R44" s="124" t="s">
        <v>46</v>
      </c>
      <c r="S44" s="124" t="s">
        <v>47</v>
      </c>
      <c r="T44" s="124" t="s">
        <v>48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49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50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Тестова Двадцать Пять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167058.288459373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167058.288459373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Тестова Двадцать Пять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51</v>
      </c>
      <c r="J39" s="143" t="s">
        <v>52</v>
      </c>
      <c r="K39" s="146" t="n">
        <f aca="false">SUM(K46:K69)</f>
        <v>167058.288459373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53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54</v>
      </c>
      <c r="D44" s="159" t="n">
        <f aca="false">HLOOKUP(B39,калькулятор!$3:$5,3,0)</f>
        <v>45748</v>
      </c>
      <c r="I44" s="160" t="s">
        <v>55</v>
      </c>
      <c r="J44" s="161"/>
      <c r="K44" s="162" t="n">
        <f aca="false">D67</f>
        <v>46428</v>
      </c>
      <c r="L44" s="163" t="s">
        <v>55</v>
      </c>
      <c r="M44" s="163"/>
      <c r="N44" s="163" t="str">
        <f aca="false">D68</f>
        <v/>
      </c>
      <c r="O44" s="163" t="s">
        <v>55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56</v>
      </c>
      <c r="C45" s="165" t="s">
        <v>57</v>
      </c>
      <c r="D45" s="166" t="s">
        <v>58</v>
      </c>
      <c r="E45" s="166" t="s">
        <v>59</v>
      </c>
      <c r="F45" s="167" t="s">
        <v>60</v>
      </c>
      <c r="H45" s="168"/>
      <c r="I45" s="169" t="s">
        <v>61</v>
      </c>
      <c r="J45" s="163" t="s">
        <v>62</v>
      </c>
      <c r="K45" s="170" t="s">
        <v>63</v>
      </c>
      <c r="L45" s="169" t="s">
        <v>61</v>
      </c>
      <c r="M45" s="163" t="s">
        <v>62</v>
      </c>
      <c r="N45" s="171" t="s">
        <v>63</v>
      </c>
      <c r="O45" s="172" t="s">
        <v>61</v>
      </c>
      <c r="P45" s="163" t="s">
        <v>62</v>
      </c>
      <c r="Q45" s="171" t="s">
        <v>63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549</v>
      </c>
      <c r="K46" s="180" t="n">
        <f aca="false">IFERROR(IF(OR(C39="КУПК",C39="КУПК (РП/ЗРП)"),E46*I46/365*J46*0.5,E46*I46/365*J46),"")</f>
        <v>47693.7079376994</v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457</v>
      </c>
      <c r="K47" s="180" t="n">
        <f aca="false">IFERROR(IF(OR(C39="КУПК",C39="КУПК (РП/ЗРП)"),E47*I47/365*J47*0.5,E47*I47/365*J47),"")</f>
        <v>39701.3197222744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365</v>
      </c>
      <c r="K48" s="180" t="n">
        <f aca="false">IFERROR(IF(OR(C39="КУПК",C39="КУПК (РП/ЗРП)"),E48*I48/365*J48*0.5,E48*I48/365*J48),"")</f>
        <v>31708.9315068493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276</v>
      </c>
      <c r="K49" s="180" t="n">
        <f aca="false">IFERROR(IF(OR(C39="КУПК",C39="КУПК (РП/ЗРП)"),E49*I49/365*J49*0.5,E49*I49/365*J49),"")</f>
        <v>23977.1646462751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184</v>
      </c>
      <c r="K50" s="180" t="n">
        <f aca="false">IFERROR(IF(OR(C39="КУПК",C39="КУПК (РП/ЗРП)"),E50*I50/365*J50*0.5,E50*I50/365*J50),"")</f>
        <v>15984.7764308501</v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92</v>
      </c>
      <c r="K51" s="180" t="n">
        <f aca="false">IFERROR(IF(OR(C39="КУПК",C39="КУПК (РП/ЗРП)"),E51*I51/365*J51*0.5,E51*I51/365*J51),"")</f>
        <v>7992.38821542503</v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0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0</v>
      </c>
      <c r="D67" s="196" t="n">
        <f aca="false">IFERROR(IF(VLOOKUP(B67,калькулятор!E:J,6,0)=0,"",VLOOKUP(B67,калькулятор!E:J,6,0)),"")</f>
        <v>46428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51</v>
      </c>
      <c r="J73" s="143" t="s">
        <v>52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53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54</v>
      </c>
      <c r="D78" s="159" t="e">
        <f aca="false">HLOOKUP(B73,калькулятор!$3:$5,3,0)</f>
        <v>#VALUE!</v>
      </c>
      <c r="I78" s="160" t="s">
        <v>55</v>
      </c>
      <c r="J78" s="161"/>
      <c r="K78" s="162" t="n">
        <f aca="false">D101</f>
        <v>46428</v>
      </c>
      <c r="L78" s="163" t="s">
        <v>55</v>
      </c>
      <c r="M78" s="163"/>
      <c r="N78" s="163" t="str">
        <f aca="false">D102</f>
        <v/>
      </c>
      <c r="O78" s="163" t="s">
        <v>55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56</v>
      </c>
      <c r="C79" s="165" t="s">
        <v>57</v>
      </c>
      <c r="D79" s="166" t="s">
        <v>58</v>
      </c>
      <c r="E79" s="166" t="s">
        <v>59</v>
      </c>
      <c r="F79" s="167" t="s">
        <v>60</v>
      </c>
      <c r="H79" s="168"/>
      <c r="I79" s="169" t="s">
        <v>61</v>
      </c>
      <c r="J79" s="163" t="s">
        <v>62</v>
      </c>
      <c r="K79" s="170" t="s">
        <v>63</v>
      </c>
      <c r="L79" s="169" t="s">
        <v>61</v>
      </c>
      <c r="M79" s="163" t="s">
        <v>62</v>
      </c>
      <c r="N79" s="171" t="s">
        <v>63</v>
      </c>
      <c r="O79" s="172" t="s">
        <v>61</v>
      </c>
      <c r="P79" s="163" t="s">
        <v>62</v>
      </c>
      <c r="Q79" s="171" t="s">
        <v>63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45879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549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457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365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46152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276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184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92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46428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51</v>
      </c>
      <c r="J107" s="143" t="s">
        <v>52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53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54</v>
      </c>
      <c r="D112" s="159" t="e">
        <f aca="false">HLOOKUP(B107,калькулятор!$3:$5,3,0)</f>
        <v>#VALUE!</v>
      </c>
      <c r="I112" s="160" t="s">
        <v>55</v>
      </c>
      <c r="J112" s="161"/>
      <c r="K112" s="162" t="n">
        <f aca="false">D135</f>
        <v>46428</v>
      </c>
      <c r="L112" s="163" t="s">
        <v>55</v>
      </c>
      <c r="M112" s="163"/>
      <c r="N112" s="163" t="str">
        <f aca="false">D136</f>
        <v/>
      </c>
      <c r="O112" s="163" t="s">
        <v>55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56</v>
      </c>
      <c r="C113" s="165" t="s">
        <v>57</v>
      </c>
      <c r="D113" s="166" t="s">
        <v>58</v>
      </c>
      <c r="E113" s="166" t="s">
        <v>59</v>
      </c>
      <c r="F113" s="167" t="s">
        <v>60</v>
      </c>
      <c r="H113" s="168"/>
      <c r="I113" s="169" t="s">
        <v>61</v>
      </c>
      <c r="J113" s="163" t="s">
        <v>62</v>
      </c>
      <c r="K113" s="170" t="s">
        <v>63</v>
      </c>
      <c r="L113" s="169" t="s">
        <v>61</v>
      </c>
      <c r="M113" s="163" t="s">
        <v>62</v>
      </c>
      <c r="N113" s="171" t="s">
        <v>63</v>
      </c>
      <c r="O113" s="172" t="s">
        <v>61</v>
      </c>
      <c r="P113" s="163" t="s">
        <v>62</v>
      </c>
      <c r="Q113" s="171" t="s">
        <v>63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549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457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365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276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184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92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46428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64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65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66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67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68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69</v>
      </c>
      <c r="D12" s="230" t="s">
        <v>70</v>
      </c>
      <c r="E12" s="231" t="s">
        <v>71</v>
      </c>
      <c r="F12" s="231" t="s">
        <v>72</v>
      </c>
      <c r="G12" s="232" t="s">
        <v>73</v>
      </c>
      <c r="H12" s="231" t="s">
        <v>74</v>
      </c>
      <c r="I12" s="232" t="s">
        <v>75</v>
      </c>
      <c r="J12" s="233"/>
    </row>
    <row r="13" customFormat="false" ht="15" hidden="false" customHeight="false" outlineLevel="0" collapsed="false">
      <c r="B13" s="234" t="s">
        <v>76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77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78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79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80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81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82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83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84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85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86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53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65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66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67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87</v>
      </c>
      <c r="D37" s="249" t="s">
        <v>70</v>
      </c>
      <c r="E37" s="250" t="s">
        <v>71</v>
      </c>
      <c r="F37" s="250" t="s">
        <v>72</v>
      </c>
      <c r="G37" s="250"/>
      <c r="J37" s="241"/>
    </row>
    <row r="38" customFormat="false" ht="15" hidden="false" customHeight="false" outlineLevel="0" collapsed="false">
      <c r="B38" s="251" t="s">
        <v>76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77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78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79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80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81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82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83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84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85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86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88</v>
      </c>
      <c r="M1" s="256"/>
      <c r="N1" s="256"/>
    </row>
    <row r="2" customFormat="false" ht="15" hidden="false" customHeight="false" outlineLevel="0" collapsed="false">
      <c r="B2" s="257" t="s">
        <v>89</v>
      </c>
      <c r="M2" s="256"/>
      <c r="N2" s="256"/>
    </row>
    <row r="3" customFormat="false" ht="15" hidden="false" customHeight="false" outlineLevel="0" collapsed="false">
      <c r="B3" s="257" t="s">
        <v>90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91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92</v>
      </c>
      <c r="M10" s="256"/>
      <c r="N10" s="256"/>
    </row>
    <row r="11" customFormat="false" ht="15" hidden="false" customHeight="false" outlineLevel="0" collapsed="false">
      <c r="B11" s="259" t="s">
        <v>93</v>
      </c>
      <c r="M11" s="256"/>
      <c r="N11" s="256"/>
    </row>
    <row r="12" customFormat="false" ht="15" hidden="false" customHeight="false" outlineLevel="0" collapsed="false">
      <c r="B12" s="259" t="s">
        <v>94</v>
      </c>
      <c r="M12" s="256"/>
      <c r="N12" s="256"/>
    </row>
    <row r="13" customFormat="false" ht="15" hidden="false" customHeight="false" outlineLevel="0" collapsed="false">
      <c r="B13" s="259" t="s">
        <v>95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96</v>
      </c>
      <c r="C2" s="261" t="s">
        <v>97</v>
      </c>
      <c r="D2" s="261" t="s">
        <v>98</v>
      </c>
      <c r="E2" s="261" t="s">
        <v>99</v>
      </c>
      <c r="F2" s="261" t="s">
        <v>100</v>
      </c>
      <c r="G2" s="261" t="s">
        <v>0</v>
      </c>
      <c r="H2" s="261" t="s">
        <v>101</v>
      </c>
      <c r="I2" s="261" t="s">
        <v>18</v>
      </c>
      <c r="J2" s="261" t="s">
        <v>102</v>
      </c>
      <c r="K2" s="261" t="s">
        <v>103</v>
      </c>
      <c r="L2" s="262" t="s">
        <v>22</v>
      </c>
      <c r="M2" s="261" t="s">
        <v>104</v>
      </c>
      <c r="N2" s="263" t="s">
        <v>105</v>
      </c>
      <c r="O2" s="261" t="s">
        <v>106</v>
      </c>
      <c r="P2" s="261"/>
      <c r="Q2" s="261" t="s">
        <v>107</v>
      </c>
      <c r="R2" s="261" t="s">
        <v>108</v>
      </c>
      <c r="S2" s="261" t="s">
        <v>109</v>
      </c>
      <c r="T2" s="261" t="s">
        <v>110</v>
      </c>
      <c r="U2" s="261" t="s">
        <v>111</v>
      </c>
      <c r="V2" s="261" t="s">
        <v>112</v>
      </c>
      <c r="W2" s="261" t="s">
        <v>113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114</v>
      </c>
      <c r="C3" s="264" t="s">
        <v>115</v>
      </c>
      <c r="D3" s="264" t="s">
        <v>115</v>
      </c>
      <c r="E3" s="264" t="s">
        <v>3</v>
      </c>
      <c r="F3" s="264" t="s">
        <v>116</v>
      </c>
      <c r="G3" s="264"/>
      <c r="H3" s="264"/>
      <c r="I3" s="264" t="s">
        <v>117</v>
      </c>
      <c r="J3" s="264"/>
      <c r="K3" s="264"/>
      <c r="L3" s="264" t="s">
        <v>118</v>
      </c>
      <c r="M3" s="265" t="s">
        <v>119</v>
      </c>
      <c r="N3" s="264"/>
      <c r="O3" s="264" t="s">
        <v>120</v>
      </c>
      <c r="P3" s="264" t="s">
        <v>120</v>
      </c>
      <c r="Q3" s="264" t="s">
        <v>3</v>
      </c>
      <c r="R3" s="264" t="s">
        <v>120</v>
      </c>
      <c r="S3" s="264" t="s">
        <v>120</v>
      </c>
      <c r="T3" s="264" t="s">
        <v>120</v>
      </c>
      <c r="U3" s="264" t="s">
        <v>120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114</v>
      </c>
      <c r="C4" s="264" t="s">
        <v>122</v>
      </c>
      <c r="D4" s="264" t="s">
        <v>122</v>
      </c>
      <c r="E4" s="264" t="s">
        <v>3</v>
      </c>
      <c r="F4" s="264" t="s">
        <v>116</v>
      </c>
      <c r="G4" s="264"/>
      <c r="H4" s="264"/>
      <c r="I4" s="264" t="s">
        <v>117</v>
      </c>
      <c r="J4" s="264"/>
      <c r="K4" s="264"/>
      <c r="L4" s="264" t="s">
        <v>123</v>
      </c>
      <c r="M4" s="265" t="s">
        <v>124</v>
      </c>
      <c r="N4" s="264"/>
      <c r="O4" s="264" t="s">
        <v>120</v>
      </c>
      <c r="P4" s="264" t="s">
        <v>120</v>
      </c>
      <c r="Q4" s="264" t="s">
        <v>3</v>
      </c>
      <c r="R4" s="264" t="s">
        <v>120</v>
      </c>
      <c r="S4" s="264" t="s">
        <v>120</v>
      </c>
      <c r="T4" s="264" t="s">
        <v>120</v>
      </c>
      <c r="U4" s="264" t="s">
        <v>120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114</v>
      </c>
      <c r="C5" s="264" t="s">
        <v>125</v>
      </c>
      <c r="D5" s="264" t="s">
        <v>125</v>
      </c>
      <c r="E5" s="264" t="s">
        <v>3</v>
      </c>
      <c r="F5" s="264" t="s">
        <v>116</v>
      </c>
      <c r="G5" s="264"/>
      <c r="H5" s="264"/>
      <c r="I5" s="264" t="s">
        <v>117</v>
      </c>
      <c r="J5" s="264"/>
      <c r="K5" s="264"/>
      <c r="L5" s="264" t="s">
        <v>126</v>
      </c>
      <c r="M5" s="265" t="s">
        <v>127</v>
      </c>
      <c r="N5" s="264"/>
      <c r="O5" s="264" t="s">
        <v>120</v>
      </c>
      <c r="P5" s="264" t="s">
        <v>3</v>
      </c>
      <c r="Q5" s="264" t="s">
        <v>3</v>
      </c>
      <c r="R5" s="264" t="s">
        <v>120</v>
      </c>
      <c r="S5" s="264" t="s">
        <v>3</v>
      </c>
      <c r="T5" s="264" t="s">
        <v>120</v>
      </c>
      <c r="U5" s="264" t="s">
        <v>120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114</v>
      </c>
      <c r="C6" s="264" t="s">
        <v>128</v>
      </c>
      <c r="D6" s="264" t="s">
        <v>128</v>
      </c>
      <c r="E6" s="264" t="s">
        <v>3</v>
      </c>
      <c r="F6" s="264" t="s">
        <v>116</v>
      </c>
      <c r="G6" s="264"/>
      <c r="H6" s="264"/>
      <c r="I6" s="264" t="s">
        <v>117</v>
      </c>
      <c r="J6" s="264"/>
      <c r="K6" s="264"/>
      <c r="L6" s="264" t="s">
        <v>129</v>
      </c>
      <c r="M6" s="265" t="s">
        <v>130</v>
      </c>
      <c r="N6" s="264"/>
      <c r="O6" s="264" t="s">
        <v>120</v>
      </c>
      <c r="P6" s="264" t="s">
        <v>3</v>
      </c>
      <c r="Q6" s="264" t="s">
        <v>3</v>
      </c>
      <c r="R6" s="264" t="s">
        <v>120</v>
      </c>
      <c r="S6" s="264" t="s">
        <v>3</v>
      </c>
      <c r="T6" s="264" t="s">
        <v>120</v>
      </c>
      <c r="U6" s="264" t="s">
        <v>120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114</v>
      </c>
      <c r="C7" s="264" t="s">
        <v>131</v>
      </c>
      <c r="D7" s="264" t="s">
        <v>131</v>
      </c>
      <c r="E7" s="264" t="s">
        <v>120</v>
      </c>
      <c r="F7" s="264" t="s">
        <v>116</v>
      </c>
      <c r="G7" s="264"/>
      <c r="H7" s="264"/>
      <c r="I7" s="264" t="s">
        <v>117</v>
      </c>
      <c r="J7" s="264"/>
      <c r="K7" s="264"/>
      <c r="L7" s="264" t="s">
        <v>132</v>
      </c>
      <c r="M7" s="265" t="s">
        <v>133</v>
      </c>
      <c r="N7" s="264"/>
      <c r="O7" s="264" t="s">
        <v>120</v>
      </c>
      <c r="P7" s="264" t="s">
        <v>3</v>
      </c>
      <c r="Q7" s="264" t="s">
        <v>3</v>
      </c>
      <c r="R7" s="264" t="s">
        <v>120</v>
      </c>
      <c r="S7" s="264" t="s">
        <v>3</v>
      </c>
      <c r="T7" s="264" t="s">
        <v>120</v>
      </c>
      <c r="U7" s="264" t="s">
        <v>120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