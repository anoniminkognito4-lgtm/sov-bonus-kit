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<sst xmlns="http://schemas.openxmlformats.org/spreadsheetml/2006/main" count="291" uniqueCount="131">
  <si>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</si>
  <si>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</si>
  <si>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</si>
  <si>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</si>
  <si>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</si>
  <si>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</si>
  <si>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</si>
  <si>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</si>
  <si>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</si>
  <si>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</si>
  <si>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Тридцать Три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</si>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</sst>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45962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334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2196164.38356164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1471430.1369863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724734.246575342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46021</v>
      </c>
      <c r="H16" s="51" t="n">
        <v>46021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46063</v>
      </c>
      <c r="K16" s="53"/>
      <c r="L16" s="54"/>
      <c r="M16" s="55" t="str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Веха не участвует в расчете выплат за квартал</v>
      </c>
      <c r="N16" s="56" t="str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Веха не участвует в расчете выплат за квартал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0.25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46022</v>
      </c>
      <c r="H17" s="51" t="n">
        <v>46022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46063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490476.712328767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0.25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46112</v>
      </c>
      <c r="H18" s="68" t="n">
        <v>46112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46150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490476.712328767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0.25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46203</v>
      </c>
      <c r="H19" s="68" t="n">
        <v>46203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46244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0.333333333333333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490476.712328767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0.25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 </v>
      </c>
      <c r="C20" s="64" t="n">
        <v>4</v>
      </c>
      <c r="D20" s="65" t="n">
        <f aca="false">D19+1</f>
        <v>5</v>
      </c>
      <c r="E20" s="66"/>
      <c r="F20" s="67"/>
      <c r="G20" s="68"/>
      <c r="H20" s="68"/>
      <c r="I20" s="65" t="str">
        <f aca="false">IF(H20="","",G20-H20)</f>
        <v/>
      </c>
      <c r="J20" s="69" t="str">
        <f aca="false">IF(H20="","",(DATE(YEAR(H20),ROUNDUP(MONTH(H20)/3,0)*3+2,10)-IF(WEEKDAY(DATE(YEAR(H20),ROUNDUP(MONTH(H20)/3,0)*3+2,10),2)&gt;5,WEEKDAY(DATE(YEAR(H20),ROUNDUP(MONTH(H20)/3,0)*3+2,10),2)-5,0)))</f>
        <v/>
      </c>
      <c r="K20" s="70"/>
      <c r="L20" s="71"/>
      <c r="M20" s="72" t="str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0" s="73" t="str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Веха не участвует в расчете выплат за квартал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str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Веха не участвует в расчете выплат за квартал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 </v>
      </c>
      <c r="C21" s="64" t="n">
        <v>4</v>
      </c>
      <c r="D21" s="65" t="n">
        <f aca="false">D20+1</f>
        <v>6</v>
      </c>
      <c r="E21" s="66"/>
      <c r="F21" s="67"/>
      <c r="G21" s="68"/>
      <c r="H21" s="68"/>
      <c r="I21" s="65" t="str">
        <f aca="false">IF(H21="","",G21-H21)</f>
        <v/>
      </c>
      <c r="J21" s="69" t="str">
        <f aca="false">IF(H21="","",(DATE(YEAR(H21),ROUNDUP(MONTH(H21)/3,0)*3+2,10)-IF(WEEKDAY(DATE(YEAR(H21),ROUNDUP(MONTH(H21)/3,0)*3+2,10),2)&gt;5,WEEKDAY(DATE(YEAR(H21),ROUNDUP(MONTH(H21)/3,0)*3+2,10),2)-5,0)))</f>
        <v/>
      </c>
      <c r="K21" s="70"/>
      <c r="L21" s="71"/>
      <c r="M21" s="72" t="str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1" s="73" t="str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Веха не участвует в расчете выплат за квартал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str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Веха не участвует в расчете выплат за квартал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32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33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724734.246575342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33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34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35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783083.62664665</v>
      </c>
      <c r="O37" s="96"/>
      <c r="P37" s="92"/>
      <c r="Q37" s="93"/>
      <c r="R37" s="94" t="s">
        <v>35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36</v>
      </c>
      <c r="F38" s="100"/>
      <c r="G38" s="101" t="s">
        <v>37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38</v>
      </c>
      <c r="F39" s="113"/>
      <c r="G39" s="114" t="s">
        <v>39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40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41</v>
      </c>
      <c r="L44" s="124" t="s">
        <v>42</v>
      </c>
      <c r="M44" s="124" t="s">
        <v>43</v>
      </c>
      <c r="N44" s="124" t="s">
        <v>44</v>
      </c>
      <c r="O44" s="124" t="s">
        <v>45</v>
      </c>
      <c r="P44" s="124" t="s">
        <v>41</v>
      </c>
      <c r="Q44" s="124" t="s">
        <v>42</v>
      </c>
      <c r="R44" s="124" t="s">
        <v>43</v>
      </c>
      <c r="S44" s="124" t="s">
        <v>44</v>
      </c>
      <c r="T44" s="124" t="s">
        <v>45</v>
      </c>
    </row>
    <row r="45" customFormat="false" ht="15" hidden="false" customHeight="true" outlineLevel="0" collapsed="false">
      <c r="K45" s="125" t="n">
        <v>45962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2196164.38356164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46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47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Тридцать Три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58349.380071308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58349.380071308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Тридцать Три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48</v>
      </c>
      <c r="J39" s="143" t="s">
        <v>49</v>
      </c>
      <c r="K39" s="146" t="n">
        <f aca="false">SUM(K46:K69)</f>
        <v>58349.380071308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50</v>
      </c>
      <c r="D40" s="151" t="n">
        <f aca="false">HLOOKUP(B39,калькулятор!$3:$14,5,0)</f>
        <v>2196164.38356164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51</v>
      </c>
      <c r="D44" s="159" t="n">
        <f aca="false">HLOOKUP(B39,калькулятор!$3:$5,3,0)</f>
        <v>45962</v>
      </c>
      <c r="I44" s="160" t="s">
        <v>52</v>
      </c>
      <c r="J44" s="161"/>
      <c r="K44" s="162" t="n">
        <f aca="false">D67</f>
        <v>46336</v>
      </c>
      <c r="L44" s="163" t="s">
        <v>52</v>
      </c>
      <c r="M44" s="163"/>
      <c r="N44" s="163" t="str">
        <f aca="false">D68</f>
        <v/>
      </c>
      <c r="O44" s="163" t="s">
        <v>52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53</v>
      </c>
      <c r="C45" s="165" t="s">
        <v>54</v>
      </c>
      <c r="D45" s="166" t="s">
        <v>55</v>
      </c>
      <c r="E45" s="166" t="s">
        <v>56</v>
      </c>
      <c r="F45" s="167" t="s">
        <v>57</v>
      </c>
      <c r="H45" s="168"/>
      <c r="I45" s="169" t="s">
        <v>58</v>
      </c>
      <c r="J45" s="163" t="s">
        <v>59</v>
      </c>
      <c r="K45" s="170" t="s">
        <v>60</v>
      </c>
      <c r="L45" s="169" t="s">
        <v>58</v>
      </c>
      <c r="M45" s="163" t="s">
        <v>59</v>
      </c>
      <c r="N45" s="171" t="s">
        <v>60</v>
      </c>
      <c r="O45" s="172" t="s">
        <v>58</v>
      </c>
      <c r="P45" s="163" t="s">
        <v>59</v>
      </c>
      <c r="Q45" s="171" t="s">
        <v>60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str">
        <f aca="false">IFERROR(VLOOKUP(B46,калькулятор!E:OJ,MATCH($B39,калькулятор!$3:$3,0)-5,0),"")</f>
        <v>Веха не участвует в расчете выплат за квартал</v>
      </c>
      <c r="D46" s="175" t="n">
        <f aca="false">IFERROR(IF(VLOOKUP(B46,калькулятор!E:J,6,0)=0,"",VLOOKUP(B46,калькулятор!E:J,6,0)),"")</f>
        <v>46063</v>
      </c>
      <c r="E46" s="176" t="str">
        <f aca="false">IF(B46="Финальная веха*",0,IF(D46="","",IF(B46="","",IFERROR(C46/67*33,""))))</f>
        <v/>
      </c>
      <c r="F46" s="177"/>
      <c r="H46" s="130"/>
      <c r="I46" s="178" t="n">
        <v>0.16</v>
      </c>
      <c r="J46" s="179" t="n">
        <f aca="false">IFERROR(K44-D46,"")</f>
        <v>273</v>
      </c>
      <c r="K46" s="180" t="str">
        <f aca="false">IFERROR(IF(OR(C39="КУПК",C39="КУПК (РП/ЗРП)"),E46*I46/365*J46*0.5,E46*I46/365*J46),"")</f>
        <v/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490476.712328767</v>
      </c>
      <c r="D47" s="175" t="n">
        <f aca="false">IFERROR(IF(VLOOKUP(B47,калькулятор!E:J,6,0)=0,"",VLOOKUP(B47,калькулятор!E:J,6,0)),"")</f>
        <v>46063</v>
      </c>
      <c r="E47" s="176" t="n">
        <f aca="false">IF(B47="Финальная веха*",0,IF(D47="","",IF(B47="","",IFERROR(C47/67*33,""))))</f>
        <v>241578.082191781</v>
      </c>
      <c r="F47" s="177"/>
      <c r="H47" s="130"/>
      <c r="I47" s="178" t="n">
        <v>0.16</v>
      </c>
      <c r="J47" s="179" t="n">
        <f aca="false">IFERROR(K44-D47,"")</f>
        <v>273</v>
      </c>
      <c r="K47" s="180" t="n">
        <f aca="false">IFERROR(IF(OR(C39="КУПК",C39="КУПК (РП/ЗРП)"),E47*I47/365*J47*0.5,E47*I47/365*J47),"")</f>
        <v>28909.9469318822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490476.712328767</v>
      </c>
      <c r="D48" s="175" t="n">
        <f aca="false">IFERROR(IF(VLOOKUP(B48,калькулятор!E:J,6,0)=0,"",VLOOKUP(B48,калькулятор!E:J,6,0)),"")</f>
        <v>46150</v>
      </c>
      <c r="E48" s="176" t="n">
        <f aca="false">IF(B48="Финальная веха*",0,IF(D48="","",IF(B48="","",IFERROR(C48/67*33,""))))</f>
        <v>241578.082191781</v>
      </c>
      <c r="F48" s="177"/>
      <c r="H48" s="130"/>
      <c r="I48" s="178" t="n">
        <v>0.16</v>
      </c>
      <c r="J48" s="179" t="n">
        <f aca="false">IFERROR(K44-D48,"")</f>
        <v>186</v>
      </c>
      <c r="K48" s="180" t="n">
        <f aca="false">IFERROR(IF(OR(C39="КУПК",C39="КУПК (РП/ЗРП)"),E48*I48/365*J48*0.5,E48*I48/365*J48),"")</f>
        <v>19696.886920623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490476.712328767</v>
      </c>
      <c r="D49" s="175" t="n">
        <f aca="false">IFERROR(IF(VLOOKUP(B49,калькулятор!E:J,6,0)=0,"",VLOOKUP(B49,калькулятор!E:J,6,0)),"")</f>
        <v>46244</v>
      </c>
      <c r="E49" s="176" t="n">
        <f aca="false">IF(B49="Финальная веха*",0,IF(D49="","",IF(B49="","",IFERROR(C49/67*33,""))))</f>
        <v>241578.082191781</v>
      </c>
      <c r="F49" s="177"/>
      <c r="H49" s="130"/>
      <c r="I49" s="178" t="n">
        <v>0.16</v>
      </c>
      <c r="J49" s="179" t="n">
        <f aca="false">IFERROR(K44-D49,"")</f>
        <v>92</v>
      </c>
      <c r="K49" s="180" t="n">
        <f aca="false">IFERROR(IF(OR(C39="КУПК",C39="КУПК (РП/ЗРП)"),E49*I49/365*J49*0.5,E49*I49/365*J49),"")</f>
        <v>9742.54621880278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n">
        <f aca="false">IF(AND(калькулятор!D$20&gt;0,калькулятор!D$20&lt;&gt;"Ключевая"),калькулятор!E$20,"")</f>
        <v>0</v>
      </c>
      <c r="C50" s="174" t="str">
        <f aca="false">IFERROR(VLOOKUP(B50,калькулятор!E:OJ,MATCH($B39,калькулятор!$3:$3,0)-5,0),"")</f>
        <v/>
      </c>
      <c r="D50" s="175" t="str">
        <f aca="false">IFERROR(IF(VLOOKUP(B50,калькулятор!E:J,6,0)=0,"",VLOOKUP(B50,калькулятор!E:J,6,0)),"")</f>
        <v/>
      </c>
      <c r="E50" s="176" t="str">
        <f aca="false">IF(B50="Финальная веха*",0,IF(D50="","",IF(B50="","",IFERROR(C50/67*33,""))))</f>
        <v/>
      </c>
      <c r="F50" s="182"/>
      <c r="H50" s="130"/>
      <c r="I50" s="178"/>
      <c r="J50" s="179" t="str">
        <f aca="false">IFERROR(K44-D50,"")</f>
        <v/>
      </c>
      <c r="K50" s="180" t="str">
        <f aca="false">IFERROR(IF(OR(C39="КУПК",C39="КУПК (РП/ЗРП)"),E50*I50/365*J50*0.5,E50*I50/365*J50),"")</f>
        <v/>
      </c>
      <c r="L50" s="178" t="n">
        <f aca="false">I50</f>
        <v>0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n">
        <f aca="false">IF(AND(калькулятор!D$21&gt;0,калькулятор!D$21&lt;&gt;"Ключевая"),калькулятор!E$21,"")</f>
        <v>0</v>
      </c>
      <c r="C51" s="174" t="str">
        <f aca="false">IFERROR(VLOOKUP(B51,калькулятор!E:OJ,MATCH($B39,калькулятор!$3:$3,0)-5,0),"")</f>
        <v/>
      </c>
      <c r="D51" s="175" t="str">
        <f aca="false">IFERROR(IF(VLOOKUP(B51,калькулятор!E:J,6,0)=0,"",VLOOKUP(B51,калькулятор!E:J,6,0)),"")</f>
        <v/>
      </c>
      <c r="E51" s="176" t="str">
        <f aca="false">IF(B51="Финальная веха*",0,IF(D51="","",IF(B51="","",IFERROR(C51/67*33,""))))</f>
        <v/>
      </c>
      <c r="F51" s="177"/>
      <c r="H51" s="130"/>
      <c r="I51" s="178"/>
      <c r="J51" s="179" t="str">
        <f aca="false">IFERROR(K44-D51,"")</f>
        <v/>
      </c>
      <c r="K51" s="180" t="str">
        <f aca="false">IFERROR(IF(OR(C39="КУПК",C39="КУПК (РП/ЗРП)"),E51*I51/365*J51*0.5,E51*I51/365*J51),"")</f>
        <v/>
      </c>
      <c r="L51" s="178" t="n">
        <f aca="false">I51</f>
        <v>0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724734.246575342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724734.246575342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48</v>
      </c>
      <c r="J73" s="143" t="s">
        <v>49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50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51</v>
      </c>
      <c r="D78" s="159" t="e">
        <f aca="false">HLOOKUP(B73,калькулятор!$3:$5,3,0)</f>
        <v>#VALUE!</v>
      </c>
      <c r="I78" s="160" t="s">
        <v>52</v>
      </c>
      <c r="J78" s="161"/>
      <c r="K78" s="162" t="n">
        <f aca="false">D101</f>
        <v>46336</v>
      </c>
      <c r="L78" s="163" t="s">
        <v>52</v>
      </c>
      <c r="M78" s="163"/>
      <c r="N78" s="163" t="str">
        <f aca="false">D102</f>
        <v/>
      </c>
      <c r="O78" s="163" t="s">
        <v>52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53</v>
      </c>
      <c r="C79" s="165" t="s">
        <v>54</v>
      </c>
      <c r="D79" s="166" t="s">
        <v>55</v>
      </c>
      <c r="E79" s="166" t="s">
        <v>56</v>
      </c>
      <c r="F79" s="167" t="s">
        <v>57</v>
      </c>
      <c r="H79" s="168"/>
      <c r="I79" s="169" t="s">
        <v>58</v>
      </c>
      <c r="J79" s="163" t="s">
        <v>59</v>
      </c>
      <c r="K79" s="170" t="s">
        <v>60</v>
      </c>
      <c r="L79" s="169" t="s">
        <v>58</v>
      </c>
      <c r="M79" s="163" t="s">
        <v>59</v>
      </c>
      <c r="N79" s="171" t="s">
        <v>60</v>
      </c>
      <c r="O79" s="172" t="s">
        <v>58</v>
      </c>
      <c r="P79" s="163" t="s">
        <v>59</v>
      </c>
      <c r="Q79" s="171" t="s">
        <v>60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46063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273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46063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273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46150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186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46244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92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n">
        <f aca="false">IF(AND(калькулятор!D$20&gt;0,калькулятор!D$20&lt;&gt;"Ключевая"),калькулятор!E$20,"")</f>
        <v>0</v>
      </c>
      <c r="C84" s="174" t="str">
        <f aca="false">IFERROR(VLOOKUP(B84,калькулятор!E:OJ,MATCH($B73,калькулятор!$3:$3,0)-5,0),"")</f>
        <v/>
      </c>
      <c r="D84" s="175" t="str">
        <f aca="false">IFERROR(IF(VLOOKUP(B84,калькулятор!E:J,6,0)=0,"",VLOOKUP(B84,калькулятор!E:J,6,0)),"")</f>
        <v/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str">
        <f aca="false">IFERROR(K78-D84,"")</f>
        <v/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n">
        <f aca="false">IF(AND(калькулятор!D$21&gt;0,калькулятор!D$21&lt;&gt;"Ключевая"),калькулятор!E$21,"")</f>
        <v>0</v>
      </c>
      <c r="C85" s="174" t="str">
        <f aca="false">IFERROR(VLOOKUP(B85,калькулятор!E:OJ,MATCH($B73,калькулятор!$3:$3,0)-5,0),"")</f>
        <v/>
      </c>
      <c r="D85" s="175" t="str">
        <f aca="false">IFERROR(IF(VLOOKUP(B85,калькулятор!E:J,6,0)=0,"",VLOOKUP(B85,калькулятор!E:J,6,0)),"")</f>
        <v/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str">
        <f aca="false">IFERROR(K78-D85,"")</f>
        <v/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48</v>
      </c>
      <c r="J107" s="143" t="s">
        <v>49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50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51</v>
      </c>
      <c r="D112" s="159" t="e">
        <f aca="false">HLOOKUP(B107,калькулятор!$3:$5,3,0)</f>
        <v>#VALUE!</v>
      </c>
      <c r="I112" s="160" t="s">
        <v>52</v>
      </c>
      <c r="J112" s="161"/>
      <c r="K112" s="162" t="n">
        <f aca="false">D135</f>
        <v>46336</v>
      </c>
      <c r="L112" s="163" t="s">
        <v>52</v>
      </c>
      <c r="M112" s="163"/>
      <c r="N112" s="163" t="str">
        <f aca="false">D136</f>
        <v/>
      </c>
      <c r="O112" s="163" t="s">
        <v>52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53</v>
      </c>
      <c r="C113" s="165" t="s">
        <v>54</v>
      </c>
      <c r="D113" s="166" t="s">
        <v>55</v>
      </c>
      <c r="E113" s="166" t="s">
        <v>56</v>
      </c>
      <c r="F113" s="167" t="s">
        <v>57</v>
      </c>
      <c r="H113" s="168"/>
      <c r="I113" s="169" t="s">
        <v>58</v>
      </c>
      <c r="J113" s="163" t="s">
        <v>59</v>
      </c>
      <c r="K113" s="170" t="s">
        <v>60</v>
      </c>
      <c r="L113" s="169" t="s">
        <v>58</v>
      </c>
      <c r="M113" s="163" t="s">
        <v>59</v>
      </c>
      <c r="N113" s="171" t="s">
        <v>60</v>
      </c>
      <c r="O113" s="172" t="s">
        <v>58</v>
      </c>
      <c r="P113" s="163" t="s">
        <v>59</v>
      </c>
      <c r="Q113" s="171" t="s">
        <v>60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46063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273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46063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273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46150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186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46244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92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n">
        <f aca="false">IF(AND(калькулятор!D$20&gt;0,калькулятор!D$20&lt;&gt;"Ключевая"),калькулятор!E$20,"")</f>
        <v>0</v>
      </c>
      <c r="C118" s="174" t="str">
        <f aca="false">IFERROR(VLOOKUP(B118,калькулятор!E:OJ,MATCH($B107,калькулятор!$3:$3,0)-5,0),"")</f>
        <v/>
      </c>
      <c r="D118" s="175" t="str">
        <f aca="false">IFERROR(IF(VLOOKUP(B118,калькулятор!E:J,6,0)=0,"",VLOOKUP(B118,калькулятор!E:J,6,0)),"")</f>
        <v/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str">
        <f aca="false">IFERROR(K112-D118,"")</f>
        <v/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n">
        <f aca="false">IF(AND(калькулятор!D$21&gt;0,калькулятор!D$21&lt;&gt;"Ключевая"),калькулятор!E$21,"")</f>
        <v>0</v>
      </c>
      <c r="C119" s="174" t="str">
        <f aca="false">IFERROR(VLOOKUP(B119,калькулятор!E:OJ,MATCH($B107,калькулятор!$3:$3,0)-5,0),"")</f>
        <v/>
      </c>
      <c r="D119" s="175" t="str">
        <f aca="false">IFERROR(IF(VLOOKUP(B119,калькулятор!E:J,6,0)=0,"",VLOOKUP(B119,калькулятор!E:J,6,0)),"")</f>
        <v/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str">
        <f aca="false">IFERROR(K112-D119,"")</f>
        <v/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61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62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63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64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65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66</v>
      </c>
      <c r="D12" s="230" t="s">
        <v>67</v>
      </c>
      <c r="E12" s="231" t="s">
        <v>68</v>
      </c>
      <c r="F12" s="231" t="s">
        <v>69</v>
      </c>
      <c r="G12" s="232" t="s">
        <v>70</v>
      </c>
      <c r="H12" s="231" t="s">
        <v>71</v>
      </c>
      <c r="I12" s="232" t="s">
        <v>72</v>
      </c>
      <c r="J12" s="233"/>
    </row>
    <row r="13" customFormat="false" ht="15" hidden="false" customHeight="false" outlineLevel="0" collapsed="false">
      <c r="B13" s="234" t="s">
        <v>73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74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75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76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77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78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79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80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81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82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83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50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62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63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64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84</v>
      </c>
      <c r="D37" s="249" t="s">
        <v>67</v>
      </c>
      <c r="E37" s="250" t="s">
        <v>68</v>
      </c>
      <c r="F37" s="250" t="s">
        <v>69</v>
      </c>
      <c r="G37" s="250"/>
      <c r="J37" s="241"/>
    </row>
    <row r="38" customFormat="false" ht="15" hidden="false" customHeight="false" outlineLevel="0" collapsed="false">
      <c r="B38" s="251" t="s">
        <v>73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74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75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76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77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78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79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80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81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82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83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85</v>
      </c>
      <c r="M1" s="256"/>
      <c r="N1" s="256"/>
    </row>
    <row r="2" customFormat="false" ht="15" hidden="false" customHeight="false" outlineLevel="0" collapsed="false">
      <c r="B2" s="257" t="s">
        <v>86</v>
      </c>
      <c r="M2" s="256"/>
      <c r="N2" s="256"/>
    </row>
    <row r="3" customFormat="false" ht="15" hidden="false" customHeight="false" outlineLevel="0" collapsed="false">
      <c r="B3" s="257" t="s">
        <v>87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88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89</v>
      </c>
      <c r="M10" s="256"/>
      <c r="N10" s="256"/>
    </row>
    <row r="11" customFormat="false" ht="15" hidden="false" customHeight="false" outlineLevel="0" collapsed="false">
      <c r="B11" s="259" t="s">
        <v>90</v>
      </c>
      <c r="M11" s="256"/>
      <c r="N11" s="256"/>
    </row>
    <row r="12" customFormat="false" ht="15" hidden="false" customHeight="false" outlineLevel="0" collapsed="false">
      <c r="B12" s="259" t="s">
        <v>91</v>
      </c>
      <c r="M12" s="256"/>
      <c r="N12" s="256"/>
    </row>
    <row r="13" customFormat="false" ht="15" hidden="false" customHeight="false" outlineLevel="0" collapsed="false">
      <c r="B13" s="259" t="s">
        <v>92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93</v>
      </c>
      <c r="C2" s="261" t="s">
        <v>94</v>
      </c>
      <c r="D2" s="261" t="s">
        <v>95</v>
      </c>
      <c r="E2" s="261" t="s">
        <v>96</v>
      </c>
      <c r="F2" s="261" t="s">
        <v>97</v>
      </c>
      <c r="G2" s="261" t="s">
        <v>0</v>
      </c>
      <c r="H2" s="261" t="s">
        <v>98</v>
      </c>
      <c r="I2" s="261" t="s">
        <v>17</v>
      </c>
      <c r="J2" s="261" t="s">
        <v>99</v>
      </c>
      <c r="K2" s="261" t="s">
        <v>100</v>
      </c>
      <c r="L2" s="262" t="s">
        <v>21</v>
      </c>
      <c r="M2" s="261" t="s">
        <v>101</v>
      </c>
      <c r="N2" s="263" t="s">
        <v>102</v>
      </c>
      <c r="O2" s="261" t="s">
        <v>103</v>
      </c>
      <c r="P2" s="261"/>
      <c r="Q2" s="261" t="s">
        <v>104</v>
      </c>
      <c r="R2" s="261" t="s">
        <v>105</v>
      </c>
      <c r="S2" s="261" t="s">
        <v>106</v>
      </c>
      <c r="T2" s="261" t="s">
        <v>107</v>
      </c>
      <c r="U2" s="261" t="s">
        <v>108</v>
      </c>
      <c r="V2" s="261" t="s">
        <v>109</v>
      </c>
      <c r="W2" s="261" t="s">
        <v>110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111</v>
      </c>
      <c r="C3" s="264" t="s">
        <v>112</v>
      </c>
      <c r="D3" s="264" t="s">
        <v>112</v>
      </c>
      <c r="E3" s="264" t="s">
        <v>3</v>
      </c>
      <c r="F3" s="264" t="s">
        <v>113</v>
      </c>
      <c r="G3" s="264"/>
      <c r="H3" s="264"/>
      <c r="I3" s="264" t="s">
        <v>114</v>
      </c>
      <c r="J3" s="264"/>
      <c r="K3" s="264"/>
      <c r="L3" s="264" t="s">
        <v>115</v>
      </c>
      <c r="M3" s="265" t="s">
        <v>116</v>
      </c>
      <c r="N3" s="264"/>
      <c r="O3" s="264" t="s">
        <v>117</v>
      </c>
      <c r="P3" s="264" t="s">
        <v>117</v>
      </c>
      <c r="Q3" s="264" t="s">
        <v>3</v>
      </c>
      <c r="R3" s="264" t="s">
        <v>117</v>
      </c>
      <c r="S3" s="264" t="s">
        <v>117</v>
      </c>
      <c r="T3" s="264" t="s">
        <v>117</v>
      </c>
      <c r="U3" s="264" t="s">
        <v>117</v>
      </c>
      <c r="V3" s="264" t="s">
        <v>3</v>
      </c>
      <c r="W3" s="264" t="s">
        <v>118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111</v>
      </c>
      <c r="C4" s="264" t="s">
        <v>119</v>
      </c>
      <c r="D4" s="264" t="s">
        <v>119</v>
      </c>
      <c r="E4" s="264" t="s">
        <v>3</v>
      </c>
      <c r="F4" s="264" t="s">
        <v>113</v>
      </c>
      <c r="G4" s="264"/>
      <c r="H4" s="264"/>
      <c r="I4" s="264" t="s">
        <v>114</v>
      </c>
      <c r="J4" s="264"/>
      <c r="K4" s="264"/>
      <c r="L4" s="264" t="s">
        <v>120</v>
      </c>
      <c r="M4" s="265" t="s">
        <v>121</v>
      </c>
      <c r="N4" s="264"/>
      <c r="O4" s="264" t="s">
        <v>117</v>
      </c>
      <c r="P4" s="264" t="s">
        <v>117</v>
      </c>
      <c r="Q4" s="264" t="s">
        <v>3</v>
      </c>
      <c r="R4" s="264" t="s">
        <v>117</v>
      </c>
      <c r="S4" s="264" t="s">
        <v>117</v>
      </c>
      <c r="T4" s="264" t="s">
        <v>117</v>
      </c>
      <c r="U4" s="264" t="s">
        <v>117</v>
      </c>
      <c r="V4" s="264" t="s">
        <v>3</v>
      </c>
      <c r="W4" s="264" t="s">
        <v>118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111</v>
      </c>
      <c r="C5" s="264" t="s">
        <v>122</v>
      </c>
      <c r="D5" s="264" t="s">
        <v>122</v>
      </c>
      <c r="E5" s="264" t="s">
        <v>3</v>
      </c>
      <c r="F5" s="264" t="s">
        <v>113</v>
      </c>
      <c r="G5" s="264"/>
      <c r="H5" s="264"/>
      <c r="I5" s="264" t="s">
        <v>114</v>
      </c>
      <c r="J5" s="264"/>
      <c r="K5" s="264"/>
      <c r="L5" s="264" t="s">
        <v>123</v>
      </c>
      <c r="M5" s="265" t="s">
        <v>124</v>
      </c>
      <c r="N5" s="264"/>
      <c r="O5" s="264" t="s">
        <v>117</v>
      </c>
      <c r="P5" s="264" t="s">
        <v>3</v>
      </c>
      <c r="Q5" s="264" t="s">
        <v>3</v>
      </c>
      <c r="R5" s="264" t="s">
        <v>117</v>
      </c>
      <c r="S5" s="264" t="s">
        <v>3</v>
      </c>
      <c r="T5" s="264" t="s">
        <v>117</v>
      </c>
      <c r="U5" s="264" t="s">
        <v>117</v>
      </c>
      <c r="V5" s="264" t="s">
        <v>3</v>
      </c>
      <c r="W5" s="264" t="s">
        <v>118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111</v>
      </c>
      <c r="C6" s="264" t="s">
        <v>125</v>
      </c>
      <c r="D6" s="264" t="s">
        <v>125</v>
      </c>
      <c r="E6" s="264" t="s">
        <v>3</v>
      </c>
      <c r="F6" s="264" t="s">
        <v>113</v>
      </c>
      <c r="G6" s="264"/>
      <c r="H6" s="264"/>
      <c r="I6" s="264" t="s">
        <v>114</v>
      </c>
      <c r="J6" s="264"/>
      <c r="K6" s="264"/>
      <c r="L6" s="264" t="s">
        <v>126</v>
      </c>
      <c r="M6" s="265" t="s">
        <v>127</v>
      </c>
      <c r="N6" s="264"/>
      <c r="O6" s="264" t="s">
        <v>117</v>
      </c>
      <c r="P6" s="264" t="s">
        <v>3</v>
      </c>
      <c r="Q6" s="264" t="s">
        <v>3</v>
      </c>
      <c r="R6" s="264" t="s">
        <v>117</v>
      </c>
      <c r="S6" s="264" t="s">
        <v>3</v>
      </c>
      <c r="T6" s="264" t="s">
        <v>117</v>
      </c>
      <c r="U6" s="264" t="s">
        <v>117</v>
      </c>
      <c r="V6" s="264" t="s">
        <v>3</v>
      </c>
      <c r="W6" s="264" t="s">
        <v>118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111</v>
      </c>
      <c r="C7" s="264" t="s">
        <v>128</v>
      </c>
      <c r="D7" s="264" t="s">
        <v>128</v>
      </c>
      <c r="E7" s="264" t="s">
        <v>117</v>
      </c>
      <c r="F7" s="264" t="s">
        <v>113</v>
      </c>
      <c r="G7" s="264"/>
      <c r="H7" s="264"/>
      <c r="I7" s="264" t="s">
        <v>114</v>
      </c>
      <c r="J7" s="264"/>
      <c r="K7" s="264"/>
      <c r="L7" s="264" t="s">
        <v>129</v>
      </c>
      <c r="M7" s="265" t="s">
        <v>130</v>
      </c>
      <c r="N7" s="264"/>
      <c r="O7" s="264" t="s">
        <v>117</v>
      </c>
      <c r="P7" s="264" t="s">
        <v>3</v>
      </c>
      <c r="Q7" s="264" t="s">
        <v>3</v>
      </c>
      <c r="R7" s="264" t="s">
        <v>117</v>
      </c>
      <c r="S7" s="264" t="s">
        <v>3</v>
      </c>
      <c r="T7" s="264" t="s">
        <v>117</v>
      </c>
      <c r="U7" s="264" t="s">
        <v>117</v>
      </c>
      <c r="V7" s="264" t="s">
        <v>3</v>
      </c>
      <c r="W7" s="264" t="s">
        <v>118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