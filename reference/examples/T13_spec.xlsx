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<sst xmlns="http://schemas.openxmlformats.org/spreadsheetml/2006/main" count="293" uniqueCount="133">
  <si>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</si>
  <si>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</si>
  <si>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</si>
  <si>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</si>
  <si>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</si>
  <si>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</si>
  <si>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</si>
  <si>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</si>
  <si>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</si>
  <si>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</si>
  <si>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Девятнадцать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</si>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</sst>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46275</v>
      </c>
      <c r="I36" s="76" t="n">
        <f aca="false">IF(H36="","",G36-H36)</f>
        <v>20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1909742.46575342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46275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1014596.96003002</v>
      </c>
      <c r="O37" s="96" t="n">
        <v>5000000000</v>
      </c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46365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519287.06233815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46455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530884.712629011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Девятнадцать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59725.7271533121</v>
      </c>
      <c r="F6" s="138" t="n">
        <f aca="false">IF($B6="","",IF(OR($C6="МП",$C6="РУПК"),"",VLOOKUP($B6,$B$39:$S$1353,13,0)))</f>
        <v>41851.4458997936</v>
      </c>
      <c r="G6" s="138" t="n">
        <f aca="false">IF($B6="","",IF(OR($C6="МП",$C6="РУПК"),"",VLOOKUP($B6,$B$39:$S$1353,16,0)))</f>
        <v>53449.0961906549</v>
      </c>
      <c r="H6" s="138" t="n">
        <f aca="false">IF(B6="","",SUM(D6:G6))</f>
        <v>155026.269243761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Девятнадцать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59725.7271533121</v>
      </c>
      <c r="L39" s="147"/>
      <c r="M39" s="147"/>
      <c r="N39" s="146" t="n">
        <f aca="false">SUM(N46:N69)</f>
        <v>41851.4458997936</v>
      </c>
      <c r="O39" s="147"/>
      <c r="P39" s="147"/>
      <c r="Q39" s="146" t="n">
        <f aca="false">SUM(Q46:Q69)</f>
        <v>53449.0961906549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n">
        <f aca="false">D68</f>
        <v>46428</v>
      </c>
      <c r="O44" s="163" t="s">
        <v>54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19937.5336460875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11966.8638769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13899.8055920435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8079.26200037531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6037.72805404391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7970.66976918747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1909742.46575342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954871.232876712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477435.616438356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477435.616438356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477435.616438356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477435.616438356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89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