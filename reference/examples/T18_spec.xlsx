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<sst xmlns="http://schemas.openxmlformats.org/spreadsheetml/2006/main" count="293" uniqueCount="133">
  <si>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</si>
  <si>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</si>
  <si>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</si>
  <si>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</si>
  <si>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</si>
  <si>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</si>
  <si>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</si>
  <si>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</si>
  <si>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</si>
  <si>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</si>
  <si>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 Тридцать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</si>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</sst>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(РП/ЗРП)",MIN(1.5,MAX(0.5,IF(O4&lt;500000000,IF(ABS(O11-O4)&gt;50000000,1+0.05/100000000*(O11-O4),1),O11/O4))),IF(O1="КУПК",MIN(1.25,MAX(0.75,IF(O4&lt;500000000,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(РП/ЗРП)",MIN(1.5,MAX(0.5,IF(T4&lt;500000000,IF(ABS(T11-T4)&gt;50000000,1+0.05/100000000*(T11-T4),1),T11/T4))),IF(T1="КУПК",MIN(1.25,MAX(0.75,IF(T4&lt;500000000,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(этапа)",1,0)))*(1+(MIN(0,$I36)*1%))*((AVERAGE(O16:O35)-50%)*2)-SUM(N16:N35)&lt;0, 0, ((O$7*IF(AND(OR(O$1="КУПК",O$1="РУПК"),$F$3="Да"),90%+10%*MAX(0,MIN(1,($G$3-40%)*2)),1))/O$6*(O$12-O$5+IF(K$12="Дата ухода с проекта (этапа)",1,0)))*(1+(MIN(0,$I36)*1%))*((AVERAGE(O16:O35)-50%)*2)-SUM(N16:N35)),O$1="РУПК", IF(((O$7*IF(AND(OR(O$1="КУПК",O$1="РУПК"),$F$3="Да"),90%+10%*MAX(0,MIN(1,($G$3-40%)*2)),1))/O$6*(O$12-O$5+IF(K$12="Дата ухода с проекта (этапа)",1,0)))*(1+(MIN(0,$I36)*1%))-SUM(N16:N35)&lt;0, 0, ((O$7*IF(AND(OR(O$1="КУПК",O$1="РУПК"),$F$3="Да"),90%+10%*MAX(0,MIN(1,($G$3-40%)*2)),1))/O$6*(O$12-O$5+IF(K$12="Дата ухода с проекта (этапа)",1,0)))*(1+(MIN(0,$I36)*1%))-SUM(N16:N35)),OR(O$1="КУПК",O$1="КУПК (РП/ЗРП)"), IF(((O$7*IF(AND(OR(O$1="КУПК",O$1="РУПК"),$F$3="Да"),90%+10%*MAX(0,MIN(1,($G$3-40%)*2)),1))/O$6*(O$12-O$5+IF(K$12="Дата ухода с проекта (этапа)",1,0)))*O$10*(1+(MIN(0,$I36)*1%))-SUM(N16:N35)&lt;0, 0, ((O$7*IF(AND(OR(O$1="КУПК",O$1="РУПК"),$F$3="Да"),90%+10%*MAX(0,MIN(1,($G$3-40%)*2)),1))/O$6*(O$12-O$5+IF(K$12="Дата ухода с проекта (этапа)",1,0)))*O$10*(1+(MIN(0,$I36)*1%))-SUM(N16:N35))),_xlfn.IFS(O$1="МП", IF(((O$7*IF(AND(OR(O$1="КУПК",O$1="РУПК"),$F$3="Да"),90%+10%*MAX(0,MIN(1,($G$3-40%)*2)),1))/O$6*(O$12-O$5+IF(K$12="Дата ухода с проекта (этапа)",1,0)))*(1+(MIN(0,K36-$H36)*1%))*((AVERAGE(O16:O35)-50%)*2)-SUM(N16:N35)&lt;0, 0, ((O$7*IF(AND(OR(O$1="КУПК",O$1="РУПК"),$F$3="Да"),90%+10%*MAX(0,MIN(1,($G$3-40%)*2)),1))/O$6*(O$12-O$5+IF(K$12="Дата ухода с проекта (этапа)",1,0)))*(1+(MIN(0,K36-$H36)*1%))*((AVERAGE(O16:O35)-50%)*2)-SUM(N16:N35)),O$1="РУПК", IF(((O$7*IF(AND(OR(O$1="КУПК",O$1="РУПК"),$F$3="Да"),90%+10%*MAX(0,MIN(1,($G$3-40%)*2)),1))/O$6*(O$12-O$5+IF(K$12="Дата ухода с проекта (этапа)",1,0)))*(1+(MIN(0,K36-$H36)*1%))-SUM(N16:N35)&lt;0, 0, ((O$7*IF(AND(OR(O$1="КУПК",O$1="РУПК"),$F$3="Да"),90%+10%*MAX(0,MIN(1,($G$3-40%)*2)),1))/O$6*(O$12-O$5+IF(K$12="Дата ухода с проекта (этапа)",1,0)))*(1+(MIN(0,K36-$H36)*1%))-SUM(N16:N35)),OR(O$1="КУПК",O$1="КУПК (РП/ЗРП)"), IF(((O$7*IF(AND(OR(O$1="КУПК",O$1="РУПК"),$F$3="Да"),90%+10%*MAX(0,MIN(1,($G$3-40%)*2)),1))/O$6*(O$12-O$5+IF(K$12="Дата ухода с проекта (этапа)",1,0)))*O$10*(1+(MIN(0,K36-$H36)*1%))-SUM(N16:N35)&lt;0, 0, ((O$7*IF(AND(OR(O$1="КУПК",O$1="РУПК"),$F$3="Да"),90%+10%*MAX(0,MIN(1,($G$3-40%)*2)),1))/O$6*(O$12-O$5+IF(K$12="Дата ухода с проекта (этапа)",1,0)))*O$10*(1+(MIN(0,K36-$H36)*1%))-SUM(N16:N35)))))),"")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(этапа)",1,0)))*(1+(MIN(0,$I36)*1%))*((AVERAGE(T16:T35)-50%)*2)-SUM(S16:S35)&lt;0, 0, ((T$7*IF(AND(OR(T$1="КУПК",T$1="РУПК"),$F$3="Да"),90%+10%*MAX(0,MIN(1,($G$3-40%)*2)),1))/T$6*(T$12-T$5+IF(P$12="Дата ухода с проекта (этапа)",1,0)))*(1+(MIN(0,$I36)*1%))*((AVERAGE(T16:T35)-50%)*2)-SUM(S16:S35)),T$1="РУПК", IF(((T$7*IF(AND(OR(T$1="КУПК",T$1="РУПК"),$F$3="Да"),90%+10%*MAX(0,MIN(1,($G$3-40%)*2)),1))/T$6*(T$12-T$5+IF(P$12="Дата ухода с проекта (этапа)",1,0)))*(1+(MIN(0,$I36)*1%))-SUM(S16:S35)&lt;0, 0, ((T$7*IF(AND(OR(T$1="КУПК",T$1="РУПК"),$F$3="Да"),90%+10%*MAX(0,MIN(1,($G$3-40%)*2)),1))/T$6*(T$12-T$5+IF(P$12="Дата ухода с проекта (этапа)",1,0)))*(1+(MIN(0,$I36)*1%))-SUM(S16:S35)),OR(T$1="КУПК",T$1="КУПК (РП/ЗРП)"), IF(((T$7*IF(AND(OR(T$1="КУПК",T$1="РУПК"),$F$3="Да"),90%+10%*MAX(0,MIN(1,($G$3-40%)*2)),1))/T$6*(T$12-T$5+IF(P$12="Дата ухода с проекта (этапа)",1,0)))*T$10*(1+(MIN(0,$I36)*1%))-SUM(S16:S35)&lt;0, 0, ((T$7*IF(AND(OR(T$1="КУПК",T$1="РУПК"),$F$3="Да"),90%+10%*MAX(0,MIN(1,($G$3-40%)*2)),1))/T$6*(T$12-T$5+IF(P$12="Дата ухода с проекта (этапа)",1,0)))*T$10*(1+(MIN(0,$I36)*1%))-SUM(S16:S35))),_xlfn.IFS(T$1="МП", IF(((T$7*IF(AND(OR(T$1="КУПК",T$1="РУПК"),$F$3="Да"),90%+10%*MAX(0,MIN(1,($G$3-40%)*2)),1))/T$6*(T$12-T$5+IF(P$12="Дата ухода с проекта (этапа)",1,0)))*(1+(MIN(0,P36-$H36)*1%))*((AVERAGE(T16:T35)-50%)*2)-SUM(S16:S35)&lt;0, 0, ((T$7*IF(AND(OR(T$1="КУПК",T$1="РУПК"),$F$3="Да"),90%+10%*MAX(0,MIN(1,($G$3-40%)*2)),1))/T$6*(T$12-T$5+IF(P$12="Дата ухода с проекта (этапа)",1,0)))*(1+(MIN(0,P36-$H36)*1%))*((AVERAGE(T16:T35)-50%)*2)-SUM(S16:S35)),T$1="РУПК", IF(((T$7*IF(AND(OR(T$1="КУПК",T$1="РУПК"),$F$3="Да"),90%+10%*MAX(0,MIN(1,($G$3-40%)*2)),1))/T$6*(T$12-T$5+IF(P$12="Дата ухода с проекта (этапа)",1,0)))*(1+(MIN(0,P36-$H36)*1%))-SUM(S16:S35)&lt;0, 0, ((T$7*IF(AND(OR(T$1="КУПК",T$1="РУПК"),$F$3="Да"),90%+10%*MAX(0,MIN(1,($G$3-40%)*2)),1))/T$6*(T$12-T$5+IF(P$12="Дата ухода с проекта (этапа)",1,0)))*(1+(MIN(0,P36-$H36)*1%))-SUM(S16:S35)),OR(T$1="КУПК",T$1="КУПК (РП/ЗРП)"), IF(((T$7*IF(AND(OR(T$1="КУПК",T$1="РУПК"),$F$3="Да"),90%+10%*MAX(0,MIN(1,($G$3-40%)*2)),1))/T$6*(T$12-T$5+IF(P$12="Дата ухода с проекта (этапа)",1,0)))*T$10*(1+(MIN(0,P36-$H36)*1%))-SUM(S16:S35)&lt;0, 0, ((T$7*IF(AND(OR(T$1="КУПК",T$1="РУПК"),$F$3="Да"),90%+10%*MAX(0,MIN(1,($G$3-40%)*2)),1))/T$6*(T$12-T$5+IF(P$12="Дата ухода с проекта (этапа)",1,0)))*T$10*(1+(MIN(0,P36-$H36)*1%))-SUM(S16:S35)))))),"")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IF(H16="","",(DATE(YEAR(H16),ROUNDUP(MONTH(H16)/3,0)*3+2,10)-IF(WEEKDAY(DATE(YEAR(H16),ROUNDUP(MONTH(H16)/3,0)*3+2,10),2)&gt;5,WEEKDAY(DATE(YEAR(H16),ROUNDUP(MONTH(H16)/3,0)*3+2,10),2)-5,0)))</f>
        <v>45877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IFERROR(IF(AND(O$12&lt;&gt;"",$H16&gt;O$12),0,IF($I16&lt;-100,0,IF(IF(AND($F$1="Да",$F$2=O$5),TRUE(),IF(K16="",$G16,K16)&gt;=O$5+60),IF($H16="","",IF(AND(O$1="МП",_xlfn.ISFORMULA(O16)),"Впиши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1.5,1.5*O$10))))),"Веха не участвует в расчете выплат за квартал"))),"")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IFERROR(IF(AND(T$12&lt;&gt;"",$H16&gt;T$12),0,IF($I16&lt;-100,0,IF(IF(AND($F$1="Да",$F$2=T$5),TRUE(),IF(P16="",$G16,P16)&gt;=T$5+60),IF($H16="","",IF(AND(T$1="МП",_xlfn.ISFORMULA(T16)),"Впиши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1.5,1.5*T$10))))),"Веха не участвует в расчете выплат за квартал"))),"")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IF(H17="","",(DATE(YEAR(H17),ROUNDUP(MONTH(H17)/3,0)*3+2,10)-IF(WEEKDAY(DATE(YEAR(H17),ROUNDUP(MONTH(H17)/3,0)*3+2,10),2)&gt;5,WEEKDAY(DATE(YEAR(H17),ROUNDUP(MONTH(H17)/3,0)*3+2,10),2)-5,0)))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IFERROR(IF(AND(O$12&lt;&gt;"",$H17&gt;O$12),0,IF($I17&lt;-100,0,IF(IF(AND($F$1="Да",$F$2=O$5),TRUE(),IF(K17="",$G17,K17)&gt;=O$5+60),IF($H17="","",IF(AND(O$1="МП",_xlfn.ISFORMULA(O17)),"Впиши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1.5,1.5*O$10))))),"Веха не участвует в расчете выплат за квартал"))),"")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IFERROR(IF(AND(T$12&lt;&gt;"",$H17&gt;T$12),0,IF($I17&lt;-100,0,IF(IF(AND($F$1="Да",$F$2=T$5),TRUE(),IF(P17="",$G17,P17)&gt;=T$5+60),IF($H17="","",IF(AND(T$1="МП",_xlfn.ISFORMULA(T17)),"Впиши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1.5,1.5*T$10))))),"Веха не участвует в расчете выплат за квартал"))),"")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IF(H18="","",(DATE(YEAR(H18),ROUNDUP(MONTH(H18)/3,0)*3+2,10)-IF(WEEKDAY(DATE(YEAR(H18),ROUNDUP(MONTH(H18)/3,0)*3+2,10),2)&gt;5,WEEKDAY(DATE(YEAR(H18),ROUNDUP(MONTH(H18)/3,0)*3+2,10),2)-5,0)))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IFERROR(IF(AND(O$12&lt;&gt;"",$H18&gt;O$12),0,IF($I18&lt;-100,0,IF(IF(AND($F$1="Да",$F$2=O$5),TRUE(),IF(K18="",$G18,K18)&gt;=O$5+60),IF($H18="","",IF(AND(O$1="МП",_xlfn.ISFORMULA(O18)),"Впиши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1.5,1.5*O$10))))),"Веха не участвует в расчете выплат за квартал"))),"")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IFERROR(IF(AND(T$12&lt;&gt;"",$H18&gt;T$12),0,IF($I18&lt;-100,0,IF(IF(AND($F$1="Да",$F$2=T$5),TRUE(),IF(P18="",$G18,P18)&gt;=T$5+60),IF($H18="","",IF(AND(T$1="МП",_xlfn.ISFORMULA(T18)),"Впиши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1.5,1.5*T$10))))),"Веха не участвует в расчете выплат за квартал"))),"")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IF(H19="","",(DATE(YEAR(H19),ROUNDUP(MONTH(H19)/3,0)*3+2,10)-IF(WEEKDAY(DATE(YEAR(H19),ROUNDUP(MONTH(H19)/3,0)*3+2,10),2)&gt;5,WEEKDAY(DATE(YEAR(H19),ROUNDUP(MONTH(H19)/3,0)*3+2,10),2)-5,0)))</f>
        <v>46150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IFERROR(IF(AND(O$12&lt;&gt;"",$H19&gt;O$12),0,IF($I19&lt;-100,0,IF(IF(AND($F$1="Да",$F$2=O$5),TRUE(),IF(K19="",$G19,K19)&gt;=O$5+60),IF($H19="","",IF(AND(O$1="МП",_xlfn.ISFORMULA(O19)),"Впиши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1.5,1.5*O$10))))),"Веха не участвует в расчете выплат за квартал"))),"")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IFERROR(IF(AND(T$12&lt;&gt;"",$H19&gt;T$12),0,IF($I19&lt;-100,0,IF(IF(AND($F$1="Да",$F$2=T$5),TRUE(),IF(P19="",$G19,P19)&gt;=T$5+60),IF($H19="","",IF(AND(T$1="МП",_xlfn.ISFORMULA(T19)),"Впиши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1.5,1.5*T$10))))),"Веха не участвует в расчете выплат за квартал"))),"")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IF(H20="","",(DATE(YEAR(H20),ROUNDUP(MONTH(H20)/3,0)*3+2,10)-IF(WEEKDAY(DATE(YEAR(H20),ROUNDUP(MONTH(H20)/3,0)*3+2,10),2)&gt;5,WEEKDAY(DATE(YEAR(H20),ROUNDUP(MONTH(H20)/3,0)*3+2,10),2)-5,0)))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IFERROR(IF(AND(O$12&lt;&gt;"",$H20&gt;O$12),0,IF($I20&lt;-100,0,IF(IF(AND($F$1="Да",$F$2=O$5),TRUE(),IF(K20="",$G20,K20)&gt;=O$5+60),IF($H20="","",IF(AND(O$1="МП",_xlfn.ISFORMULA(O20)),"Впиши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1.5,1.5*O$10))))),"Веха не участвует в расчете выплат за квартал"))),"")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IFERROR(IF(AND(T$12&lt;&gt;"",$H20&gt;T$12),0,IF($I20&lt;-100,0,IF(IF(AND($F$1="Да",$F$2=T$5),TRUE(),IF(P20="",$G20,P20)&gt;=T$5+60),IF($H20="","",IF(AND(T$1="МП",_xlfn.ISFORMULA(T20)),"Впиши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1.5,1.5*T$10))))),"Веха не участвует в расчете выплат за квартал"))),"")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IF(H21="","",(DATE(YEAR(H21),ROUNDUP(MONTH(H21)/3,0)*3+2,10)-IF(WEEKDAY(DATE(YEAR(H21),ROUNDUP(MONTH(H21)/3,0)*3+2,10),2)&gt;5,WEEKDAY(DATE(YEAR(H21),ROUNDUP(MONTH(H21)/3,0)*3+2,10),2)-5,0)))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IFERROR(IF(AND(O$12&lt;&gt;"",$H21&gt;O$12),0,IF($I21&lt;-100,0,IF(IF(AND($F$1="Да",$F$2=O$5),TRUE(),IF(K21="",$G21,K21)&gt;=O$5+60),IF($H21="","",IF(AND(O$1="МП",_xlfn.ISFORMULA(O21)),"Впиши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1.5,1.5*O$10))))),"Веха не участвует в расчете выплат за квартал"))),"")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IFERROR(IF(AND(T$12&lt;&gt;"",$H21&gt;T$12),0,IF($I21&lt;-100,0,IF(IF(AND($F$1="Да",$F$2=T$5),TRUE(),IF(P21="",$G21,P21)&gt;=T$5+60),IF($H21="","",IF(AND(T$1="МП",_xlfn.ISFORMULA(T21)),"Впиши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1.5,1.5*T$10))))),"Веха не участвует в расчете выплат за квартал"))),"")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IF(H22="","",(DATE(YEAR(H22),ROUNDUP(MONTH(H22)/3,0)*3+2,10)-IF(WEEKDAY(DATE(YEAR(H22),ROUNDUP(MONTH(H22)/3,0)*3+2,10),2)&gt;5,WEEKDAY(DATE(YEAR(H22),ROUNDUP(MONTH(H22)/3,0)*3+2,10),2)-5,0)))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IFERROR(IF(AND(O$12&lt;&gt;"",$H22&gt;O$12),0,IF($I22&lt;-100,0,IF(IF(AND($F$1="Да",$F$2=O$5),TRUE(),IF(K22="",$G22,K22)&gt;=O$5+60),IF($H22="","",IF(AND(O$1="МП",_xlfn.ISFORMULA(O22)),"Впиши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1.5,1.5*O$10))))),"Веха не участвует в расчете выплат за квартал"))),"")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IFERROR(IF(AND(T$12&lt;&gt;"",$H22&gt;T$12),0,IF($I22&lt;-100,0,IF(IF(AND($F$1="Да",$F$2=T$5),TRUE(),IF(P22="",$G22,P22)&gt;=T$5+60),IF($H22="","",IF(AND(T$1="МП",_xlfn.ISFORMULA(T22)),"Впиши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1.5,1.5*T$10))))),"Веха не участвует в расчете выплат за квартал"))),"")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IF(H23="","",(DATE(YEAR(H23),ROUNDUP(MONTH(H23)/3,0)*3+2,10)-IF(WEEKDAY(DATE(YEAR(H23),ROUNDUP(MONTH(H23)/3,0)*3+2,10),2)&gt;5,WEEKDAY(DATE(YEAR(H23),ROUNDUP(MONTH(H23)/3,0)*3+2,10),2)-5,0)))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IFERROR(IF(AND(O$12&lt;&gt;"",$H23&gt;O$12),0,IF($I23&lt;-100,0,IF(IF(AND($F$1="Да",$F$2=O$5),TRUE(),IF(K23="",$G23,K23)&gt;=O$5+60),IF($H23="","",IF(AND(O$1="МП",_xlfn.ISFORMULA(O23)),"Впиши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1.5,1.5*O$10))))),"Веха не участвует в расчете выплат за квартал"))),"")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IFERROR(IF(AND(T$12&lt;&gt;"",$H23&gt;T$12),0,IF($I23&lt;-100,0,IF(IF(AND($F$1="Да",$F$2=T$5),TRUE(),IF(P23="",$G23,P23)&gt;=T$5+60),IF($H23="","",IF(AND(T$1="МП",_xlfn.ISFORMULA(T23)),"Впиши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1.5,1.5*T$10))))),"Веха не участвует в расчете выплат за квартал"))),"")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IF(H24="","",(DATE(YEAR(H24),ROUNDUP(MONTH(H24)/3,0)*3+2,10)-IF(WEEKDAY(DATE(YEAR(H24),ROUNDUP(MONTH(H24)/3,0)*3+2,10),2)&gt;5,WEEKDAY(DATE(YEAR(H24),ROUNDUP(MONTH(H24)/3,0)*3+2,10),2)-5,0)))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IFERROR(IF(AND(O$12&lt;&gt;"",$H24&gt;O$12),0,IF($I24&lt;-100,0,IF(IF(AND($F$1="Да",$F$2=O$5),TRUE(),IF(K24="",$G24,K24)&gt;=O$5+60),IF($H24="","",IF(AND(O$1="МП",_xlfn.ISFORMULA(O24)),"Впиши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1.5,1.5*O$10))))),"Веха не участвует в расчете выплат за квартал"))),"")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IFERROR(IF(AND(T$12&lt;&gt;"",$H24&gt;T$12),0,IF($I24&lt;-100,0,IF(IF(AND($F$1="Да",$F$2=T$5),TRUE(),IF(P24="",$G24,P24)&gt;=T$5+60),IF($H24="","",IF(AND(T$1="МП",_xlfn.ISFORMULA(T24)),"Впиши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1.5,1.5*T$10))))),"Веха не участвует в расчете выплат за квартал"))),"")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IF(H25="","",(DATE(YEAR(H25),ROUNDUP(MONTH(H25)/3,0)*3+2,10)-IF(WEEKDAY(DATE(YEAR(H25),ROUNDUP(MONTH(H25)/3,0)*3+2,10),2)&gt;5,WEEKDAY(DATE(YEAR(H25),ROUNDUP(MONTH(H25)/3,0)*3+2,10),2)-5,0)))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IFERROR(IF(AND(O$12&lt;&gt;"",$H25&gt;O$12),0,IF($I25&lt;-100,0,IF(IF(AND($F$1="Да",$F$2=O$5),TRUE(),IF(K25="",$G25,K25)&gt;=O$5+60),IF($H25="","",IF(AND(O$1="МП",_xlfn.ISFORMULA(O25)),"Впиши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1.5,1.5*O$10))))),"Веха не участвует в расчете выплат за квартал"))),"")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IFERROR(IF(AND(T$12&lt;&gt;"",$H25&gt;T$12),0,IF($I25&lt;-100,0,IF(IF(AND($F$1="Да",$F$2=T$5),TRUE(),IF(P25="",$G25,P25)&gt;=T$5+60),IF($H25="","",IF(AND(T$1="МП",_xlfn.ISFORMULA(T25)),"Впиши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1.5,1.5*T$10))))),"Веха не участвует в расчете выплат за квартал"))),"")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IF(H26="","",(DATE(YEAR(H26),ROUNDUP(MONTH(H26)/3,0)*3+2,10)-IF(WEEKDAY(DATE(YEAR(H26),ROUNDUP(MONTH(H26)/3,0)*3+2,10),2)&gt;5,WEEKDAY(DATE(YEAR(H26),ROUNDUP(MONTH(H26)/3,0)*3+2,10),2)-5,0)))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IFERROR(IF(AND(O$12&lt;&gt;"",$H26&gt;O$12),0,IF($I26&lt;-100,0,IF(IF(AND($F$1="Да",$F$2=O$5),TRUE(),IF(K26="",$G26,K26)&gt;=O$5+60),IF($H26="","",IF(AND(O$1="МП",_xlfn.ISFORMULA(O26)),"Впиши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1.5,1.5*O$10))))),"Веха не участвует в расчете выплат за квартал"))),"")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IFERROR(IF(AND(T$12&lt;&gt;"",$H26&gt;T$12),0,IF($I26&lt;-100,0,IF(IF(AND($F$1="Да",$F$2=T$5),TRUE(),IF(P26="",$G26,P26)&gt;=T$5+60),IF($H26="","",IF(AND(T$1="МП",_xlfn.ISFORMULA(T26)),"Впиши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1.5,1.5*T$10))))),"Веха не участвует в расчете выплат за квартал"))),"")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IF(H27="","",(DATE(YEAR(H27),ROUNDUP(MONTH(H27)/3,0)*3+2,10)-IF(WEEKDAY(DATE(YEAR(H27),ROUNDUP(MONTH(H27)/3,0)*3+2,10),2)&gt;5,WEEKDAY(DATE(YEAR(H27),ROUNDUP(MONTH(H27)/3,0)*3+2,10),2)-5,0)))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IFERROR(IF(AND(O$12&lt;&gt;"",$H27&gt;O$12),0,IF($I27&lt;-100,0,IF(IF(AND($F$1="Да",$F$2=O$5),TRUE(),IF(K27="",$G27,K27)&gt;=O$5+60),IF($H27="","",IF(AND(O$1="МП",_xlfn.ISFORMULA(O27)),"Впиши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1.5,1.5*O$10))))),"Веха не участвует в расчете выплат за квартал"))),"")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IFERROR(IF(AND(T$12&lt;&gt;"",$H27&gt;T$12),0,IF($I27&lt;-100,0,IF(IF(AND($F$1="Да",$F$2=T$5),TRUE(),IF(P27="",$G27,P27)&gt;=T$5+60),IF($H27="","",IF(AND(T$1="МП",_xlfn.ISFORMULA(T27)),"Впиши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1.5,1.5*T$10))))),"Веха не участвует в расчете выплат за квартал"))),"")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IF(H28="","",(DATE(YEAR(H28),ROUNDUP(MONTH(H28)/3,0)*3+2,10)-IF(WEEKDAY(DATE(YEAR(H28),ROUNDUP(MONTH(H28)/3,0)*3+2,10),2)&gt;5,WEEKDAY(DATE(YEAR(H28),ROUNDUP(MONTH(H28)/3,0)*3+2,10),2)-5,0)))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IFERROR(IF(AND(O$12&lt;&gt;"",$H28&gt;O$12),0,IF($I28&lt;-100,0,IF(IF(AND($F$1="Да",$F$2=O$5),TRUE(),IF(K28="",$G28,K28)&gt;=O$5+60),IF($H28="","",IF(AND(O$1="МП",_xlfn.ISFORMULA(O28)),"Впиши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1.5,1.5*O$10))))),"Веха не участвует в расчете выплат за квартал"))),"")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IFERROR(IF(AND(T$12&lt;&gt;"",$H28&gt;T$12),0,IF($I28&lt;-100,0,IF(IF(AND($F$1="Да",$F$2=T$5),TRUE(),IF(P28="",$G28,P28)&gt;=T$5+60),IF($H28="","",IF(AND(T$1="МП",_xlfn.ISFORMULA(T28)),"Впиши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1.5,1.5*T$10))))),"Веха не участвует в расчете выплат за квартал"))),"")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IF(H29="","",(DATE(YEAR(H29),ROUNDUP(MONTH(H29)/3,0)*3+2,10)-IF(WEEKDAY(DATE(YEAR(H29),ROUNDUP(MONTH(H29)/3,0)*3+2,10),2)&gt;5,WEEKDAY(DATE(YEAR(H29),ROUNDUP(MONTH(H29)/3,0)*3+2,10),2)-5,0)))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IFERROR(IF(AND(O$12&lt;&gt;"",$H29&gt;O$12),0,IF($I29&lt;-100,0,IF(IF(AND($F$1="Да",$F$2=O$5),TRUE(),IF(K29="",$G29,K29)&gt;=O$5+60),IF($H29="","",IF(AND(O$1="МП",_xlfn.ISFORMULA(O29)),"Впиши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1.5,1.5*O$10))))),"Веха не участвует в расчете выплат за квартал"))),"")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IFERROR(IF(AND(T$12&lt;&gt;"",$H29&gt;T$12),0,IF($I29&lt;-100,0,IF(IF(AND($F$1="Да",$F$2=T$5),TRUE(),IF(P29="",$G29,P29)&gt;=T$5+60),IF($H29="","",IF(AND(T$1="МП",_xlfn.ISFORMULA(T29)),"Впиши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1.5,1.5*T$10))))),"Веха не участвует в расчете выплат за квартал"))),"")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IF(H30="","",(DATE(YEAR(H30),ROUNDUP(MONTH(H30)/3,0)*3+2,10)-IF(WEEKDAY(DATE(YEAR(H30),ROUNDUP(MONTH(H30)/3,0)*3+2,10),2)&gt;5,WEEKDAY(DATE(YEAR(H30),ROUNDUP(MONTH(H30)/3,0)*3+2,10),2)-5,0)))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IFERROR(IF(AND(O$12&lt;&gt;"",$H30&gt;O$12),0,IF($I30&lt;-100,0,IF(IF(AND($F$1="Да",$F$2=O$5),TRUE(),IF(K30="",$G30,K30)&gt;=O$5+60),IF($H30="","",IF(AND(O$1="МП",_xlfn.ISFORMULA(O30)),"Впиши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1.5,1.5*O$10))))),"Веха не участвует в расчете выплат за квартал"))),"")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IFERROR(IF(AND(T$12&lt;&gt;"",$H30&gt;T$12),0,IF($I30&lt;-100,0,IF(IF(AND($F$1="Да",$F$2=T$5),TRUE(),IF(P30="",$G30,P30)&gt;=T$5+60),IF($H30="","",IF(AND(T$1="МП",_xlfn.ISFORMULA(T30)),"Впиши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1.5,1.5*T$10))))),"Веха не участвует в расчете выплат за квартал"))),"")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IF(H31="","",(DATE(YEAR(H31),ROUNDUP(MONTH(H31)/3,0)*3+2,10)-IF(WEEKDAY(DATE(YEAR(H31),ROUNDUP(MONTH(H31)/3,0)*3+2,10),2)&gt;5,WEEKDAY(DATE(YEAR(H31),ROUNDUP(MONTH(H31)/3,0)*3+2,10),2)-5,0)))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IFERROR(IF(AND(O$12&lt;&gt;"",$H31&gt;O$12),0,IF($I31&lt;-100,0,IF(IF(AND($F$1="Да",$F$2=O$5),TRUE(),IF(K31="",$G31,K31)&gt;=O$5+60),IF($H31="","",IF(AND(O$1="МП",_xlfn.ISFORMULA(O31)),"Впиши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1.5,1.5*O$10))))),"Веха не участвует в расчете выплат за квартал"))),"")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IFERROR(IF(AND(T$12&lt;&gt;"",$H31&gt;T$12),0,IF($I31&lt;-100,0,IF(IF(AND($F$1="Да",$F$2=T$5),TRUE(),IF(P31="",$G31,P31)&gt;=T$5+60),IF($H31="","",IF(AND(T$1="МП",_xlfn.ISFORMULA(T31)),"Впиши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1.5,1.5*T$10))))),"Веха не участвует в расчете выплат за квартал"))),"")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IF(H32="","",(DATE(YEAR(H32),ROUNDUP(MONTH(H32)/3,0)*3+2,10)-IF(WEEKDAY(DATE(YEAR(H32),ROUNDUP(MONTH(H32)/3,0)*3+2,10),2)&gt;5,WEEKDAY(DATE(YEAR(H32),ROUNDUP(MONTH(H32)/3,0)*3+2,10),2)-5,0)))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IFERROR(IF(AND(O$12&lt;&gt;"",$H32&gt;O$12),0,IF($I32&lt;-100,0,IF(IF(AND($F$1="Да",$F$2=O$5),TRUE(),IF(K32="",$G32,K32)&gt;=O$5+60),IF($H32="","",IF(AND(O$1="МП",_xlfn.ISFORMULA(O32)),"Впиши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1.5,1.5*O$10))))),"Веха не участвует в расчете выплат за квартал"))),"")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IFERROR(IF(AND(T$12&lt;&gt;"",$H32&gt;T$12),0,IF($I32&lt;-100,0,IF(IF(AND($F$1="Да",$F$2=T$5),TRUE(),IF(P32="",$G32,P32)&gt;=T$5+60),IF($H32="","",IF(AND(T$1="МП",_xlfn.ISFORMULA(T32)),"Впиши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1.5,1.5*T$10))))),"Веха не участвует в расчете выплат за квартал"))),"")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IF(H33="","",(DATE(YEAR(H33),ROUNDUP(MONTH(H33)/3,0)*3+2,10)-IF(WEEKDAY(DATE(YEAR(H33),ROUNDUP(MONTH(H33)/3,0)*3+2,10),2)&gt;5,WEEKDAY(DATE(YEAR(H33),ROUNDUP(MONTH(H33)/3,0)*3+2,10),2)-5,0)))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IFERROR(IF(AND(O$12&lt;&gt;"",$H33&gt;O$12),0,IF($I33&lt;-100,0,IF(IF(AND($F$1="Да",$F$2=O$5),TRUE(),IF(K33="",$G33,K33)&gt;=O$5+60),IF($H33="","",IF(AND(O$1="МП",_xlfn.ISFORMULA(O33)),"Впиши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1.5,1.5*O$10))))),"Веха не участвует в расчете выплат за квартал"))),"")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IFERROR(IF(AND(T$12&lt;&gt;"",$H33&gt;T$12),0,IF($I33&lt;-100,0,IF(IF(AND($F$1="Да",$F$2=T$5),TRUE(),IF(P33="",$G33,P33)&gt;=T$5+60),IF($H33="","",IF(AND(T$1="МП",_xlfn.ISFORMULA(T33)),"Впиши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1.5,1.5*T$10))))),"Веха не участвует в расчете выплат за квартал"))),"")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IF(H34="","",(DATE(YEAR(H34),ROUNDUP(MONTH(H34)/3,0)*3+2,10)-IF(WEEKDAY(DATE(YEAR(H34),ROUNDUP(MONTH(H34)/3,0)*3+2,10),2)&gt;5,WEEKDAY(DATE(YEAR(H34),ROUNDUP(MONTH(H34)/3,0)*3+2,10),2)-5,0)))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IFERROR(IF(AND(O$12&lt;&gt;"",$H34&gt;O$12),0,IF($I34&lt;-100,0,IF(IF(AND($F$1="Да",$F$2=O$5),TRUE(),IF(K34="",$G34,K34)&gt;=O$5+60),IF($H34="","",IF(AND(O$1="МП",_xlfn.ISFORMULA(O34)),"Впиши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1.5,1.5*O$10))))),"Веха не участвует в расчете выплат за квартал"))),"")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IFERROR(IF(AND(T$12&lt;&gt;"",$H34&gt;T$12),0,IF($I34&lt;-100,0,IF(IF(AND($F$1="Да",$F$2=T$5),TRUE(),IF(P34="",$G34,P34)&gt;=T$5+60),IF($H34="","",IF(AND(T$1="МП",_xlfn.ISFORMULA(T34)),"Впиши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1.5,1.5*T$10))))),"Веха не участвует в расчете выплат за квартал"))),"")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IF(H35="","",(DATE(YEAR(H35),ROUNDUP(MONTH(H35)/3,0)*3+2,10)-IF(WEEKDAY(DATE(YEAR(H35),ROUNDUP(MONTH(H35)/3,0)*3+2,10),2)&gt;5,WEEKDAY(DATE(YEAR(H35),ROUNDUP(MONTH(H35)/3,0)*3+2,10),2)-5,0)))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IFERROR(IF(AND(O$12&lt;&gt;"",$H35&gt;O$12),0,IF($I35&lt;-100,0,IF(IF(AND($F$1="Да",$F$2=O$5),TRUE(),IF(K35="",$G35,K35)&gt;=O$5+60),IF($H35="","",IF(AND(O$1="МП",_xlfn.ISFORMULA(O35)),"Впиши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1.5,1.5*O$10))))),"Веха не участвует в расчете выплат за квартал"))),"")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IFERROR(IF(AND(T$12&lt;&gt;"",$H35&gt;T$12),0,IF($I35&lt;-100,0,IF(IF(AND($F$1="Да",$F$2=T$5),TRUE(),IF(P35="",$G35,P35)&gt;=T$5+60),IF($H35="","",IF(AND(T$1="МП",_xlfn.ISFORMULA(T35)),"Впиши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1.5,1.5*T$10))))),"Веха не участвует в расчете выплат за квартал"))),"")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46157</v>
      </c>
      <c r="I36" s="76" t="n">
        <f aca="false">IF(H36="","",G36-H36)</f>
        <v>138</v>
      </c>
      <c r="J36" s="80" t="n">
        <f aca="false">IF(H36="","",(DATE(YEAR(H36),ROUNDUP(MONTH(H36)/3,0)*3+2,10)-IF(WEEKDAY(DATE(YEAR(H36),ROUNDUP(MONTH(H36)/3,0)*3+2,10),2)&gt;5,WEEKDAY(DATE(YEAR(H36),ROUNDUP(MONTH(H36)/3,0)*3+2,10),2)-5,0)))</f>
        <v>46244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6161621.91780822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46157</v>
      </c>
      <c r="I37" s="88"/>
      <c r="J37" s="91" t="n">
        <f aca="false">IF(H37="","",(DATE(YEAR(H37),ROUNDUP(MONTH(H37)/3,0)*3+2,10)-IF(WEEKDAY(DATE(YEAR(H37),ROUNDUP(MONTH(H37)/3,0)*3+2,10),2)&gt;5,WEEKDAY(DATE(YEAR(H37),ROUNDUP(MONTH(H37)/3,0)*3+2,10),2)-5,0)))</f>
        <v>46244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6233119.04282229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46247</v>
      </c>
      <c r="I38" s="103"/>
      <c r="J38" s="104" t="n">
        <f aca="false">IF(H38="","",(DATE(YEAR(H38),ROUNDUP(MONTH(H38)/3,0)*3+2,10)-IF(WEEKDAY(DATE(YEAR(H38),ROUNDUP(MONTH(H38)/3,0)*3+2,10),2)&gt;5,WEEKDAY(DATE(YEAR(H38),ROUNDUP(MONTH(H38)/3,0)*3+2,10),2)-5,0)))</f>
        <v>46336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комментарии!",IF(O$38&gt;=O$37,N$36*25%+VLOOKUP(O$3,'проценты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комментарии!",IF(T$38&gt;=T$37,S$36*25%+VLOOKUP(T$3,'проценты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46337</v>
      </c>
      <c r="I39" s="111"/>
      <c r="J39" s="116" t="n">
        <f aca="false">IF(H39="","",(DATE(YEAR(H39),ROUNDUP(MONTH(H39)/3,0)*3+2,10)-IF(WEEKDAY(DATE(YEAR(H39),ROUNDUP(MONTH(H39)/3,0)*3+2,10),2)&gt;5,WEEKDAY(DATE(YEAR(H39),ROUNDUP(MONTH(H39)/3,0)*3+2,10),2)-5,0)))</f>
        <v>46428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приостановлены",IF(O$39&gt;=O$37,N$36*25%+VLOOKUP(O$3,'проценты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NPV"),IF(O$39&gt;=O$37,N$36*25%+VLOOKUP(O$3,'проценты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приостановлены",IF(T$39&gt;=T$37,S$36*25%+VLOOKUP(T$3,'проценты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NPV"),IF(T$39&gt;=T$37,S$36*25%+VLOOKUP(T$3,'проценты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 Тридцать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71497.1250140739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71497.1250140739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 Тридцать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71497.1250140739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46244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45877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367</v>
      </c>
      <c r="K46" s="180" t="n">
        <f aca="false">IFERROR(IF(OR(C39="КУПК",C39="КУПК (РП/ЗРП)"),E46*I46/365*J46*0.5,E46*I46/365*J46),"")</f>
        <v>31882.6790767499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273</v>
      </c>
      <c r="K47" s="180" t="n">
        <f aca="false">IFERROR(IF(OR(C39="КУПК",C39="КУПК (РП/ЗРП)"),E47*I47/365*J47*0.5,E47*I47/365*J47),"")</f>
        <v>23716.5432914243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181</v>
      </c>
      <c r="K48" s="180" t="n">
        <f aca="false">IFERROR(IF(OR(C39="КУПК",C39="КУПК (РП/ЗРП)"),E48*I48/365*J48*0.5,E48*I48/365*J48),"")</f>
        <v>15724.1550759993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46150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94</v>
      </c>
      <c r="K49" s="180" t="n">
        <f aca="false">IFERROR(IF(OR(C39="КУПК",C39="КУПК (РП/ЗРП)"),E49*I49/365*J49*0.5,E49*I49/365*J49),"")</f>
        <v>8166.13578532558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0</v>
      </c>
      <c r="K50" s="180" t="n">
        <f aca="false">IFERROR(IF(OR(C39="КУПК",C39="КУПК (РП/ЗРП)"),E50*I50/365*J50*0.5,E50*I50/365*J50),"")</f>
        <v>0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-92</v>
      </c>
      <c r="K51" s="180" t="n">
        <f aca="false">IFERROR(IF(OR(C39="КУПК",C39="КУПК (РП/ЗРП)"),E51*I51/365*J51*0.5,E51*I51/365*J51),"")</f>
        <v>-7992.38821542503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6161621.91780822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6161621.91780822</v>
      </c>
      <c r="D67" s="196" t="n">
        <f aca="false">IFERROR(IF(VLOOKUP(B67,калькулятор!E:J,6,0)=0,"",VLOOKUP(B67,калькулятор!E:J,6,0)),"")</f>
        <v>46244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46244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45877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367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273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181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46150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94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0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-92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46244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46244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45877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367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273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181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46150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94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0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-92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46244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