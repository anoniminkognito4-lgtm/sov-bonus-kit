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<sst xmlns="http://schemas.openxmlformats.org/spreadsheetml/2006/main" count="293" uniqueCount="133">
  <si>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</si>
  <si>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</si>
  <si>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</si>
  <si>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</si>
  <si>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</si>
  <si>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МП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</si>
  <si>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</si>
  <si>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</si>
  <si>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</si>
  <si>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</si>
  <si>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Семнадцать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</si>
  <si>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</si>
  <si>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</si>
  <si>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</si>
  <si>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</si>
  <si>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</si>
  <si>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</si>
  <si>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</si>
  <si>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</si>
  <si>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</si>
  <si>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</si>
  <si>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</si>
  <si>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</si>
  <si>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</si>
  <si>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</si>
  <si>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</si>
  <si>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</si>
  <si>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</si>
  <si>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</si>
  <si>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</si>
  <si>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</si>
  <si>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</si>
  <si>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</si>
  <si>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</si>
  <si>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</si>
  <si>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</si>
  <si>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</si>
  <si>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</si>
  <si>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</si>
  <si>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</si>
  <si>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</si>
  <si>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</si>
  <si>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</si>
  <si>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</si>
  <si>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</si>
  <si>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</si>
  <si>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</si>
  <si>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</si>
  <si>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</si>
  <si>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</si>
  <si>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</si>
  <si>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</si>
  <si>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</si>
  <si>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</si>
  <si>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</si>
  <si>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</si>
  <si>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</si>
  <si>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</si>
  <si>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</si>
  <si>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</si>
  <si>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</si>
  <si>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</si>
  <si>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</si>
  <si>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</si>
  <si>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</si>
  <si>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</si>
  <si>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</si>
  <si>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</si>
  <si>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</si>
  <si>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</si>
  <si>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</si>
  <si>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</si>
  <si>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</si>
  <si>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</si>
  <si>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</si>
  <si>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</si>
  <si>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</si>
  <si>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</si>
  <si>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</si>
  <si>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</si>
  <si>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</si>
  <si>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</si>
  <si>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</si>
  <si>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</si>
  <si>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</si>
  <si>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</si>
  <si>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</si>
  <si>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</si>
  <si>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</si>
  <si>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</si>
  <si>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РУПК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</si>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</sst>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241420.273972603</v>
      </c>
      <c r="O16" s="57" t="n">
        <v>0.8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241420.273972603</v>
      </c>
      <c r="O17" s="57" t="n">
        <v>0.8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241420.273972603</v>
      </c>
      <c r="O18" s="74" t="n">
        <v>0.8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241420.273972603</v>
      </c>
      <c r="O19" s="74" t="n">
        <v>0.8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241420.273972603</v>
      </c>
      <c r="O20" s="74" t="n">
        <v>0.8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241420.273972603</v>
      </c>
      <c r="O21" s="74" t="n">
        <v>0.8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713450.95890411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784913.334404204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Семнадцать</v>
      </c>
      <c r="C6" s="137" t="str">
        <f aca="false">IFERROR(INDEX(калькулятор!$1:$3,1,MATCH(B6,калькулятор!$3:$3,0)),"")</f>
        <v>МП</v>
      </c>
      <c r="D6" s="138" t="n">
        <f aca="false">IF(B6="","",IF(OR($C6="КУПК",$C6="КУПК (РП/ЗРП)"),"",VLOOKUP($B6,$B$39:$S$1353,10,0)))</f>
        <v>71462.3755000939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71462.3755000939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Семнадцать</v>
      </c>
      <c r="C39" s="142" t="str">
        <f aca="false">INDEX(калькулятор!$1:$3,1,MATCH(B39,калькулятор!$3:$3,0))</f>
        <v>МП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71462.3755000939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241420.273972603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118908.493150685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23820.7918333646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241420.273972603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118908.493150685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19025.3589041096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241420.273972603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118908.493150685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14229.9259748546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241420.273972603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118908.493150685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9590.86585851004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241420.273972603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118908.493150685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4795.43292925502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241420.273972603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118908.493150685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713450.95890411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713450.95890411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5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