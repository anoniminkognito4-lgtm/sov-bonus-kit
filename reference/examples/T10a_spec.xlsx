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<sst xmlns="http://schemas.openxmlformats.org/spreadsheetml/2006/main" count="296" uniqueCount="134">
  <si>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</si>
  <si>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</si>
  <si>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</si>
  <si>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</si>
  <si>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</si>
  <si>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</si>
  <si>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</si>
  <si>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</si>
  <si>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</si>
  <si>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</si>
  <si>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Да</t>
  </si>
  <si>
    <t xml:space="preserve">ФИО</t>
  </si>
  <si>
    <t xml:space="preserve">Тестов Пятнадцать</t>
  </si>
  <si>
    <t xml:space="preserve">Тестова Шестнадцать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</si>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</sst>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10</v>
      </c>
      <c r="G3" s="17" t="n">
        <v>0.95</v>
      </c>
      <c r="K3" s="18" t="s">
        <v>11</v>
      </c>
      <c r="L3" s="18"/>
      <c r="M3" s="18"/>
      <c r="N3" s="18"/>
      <c r="O3" s="16" t="s">
        <v>12</v>
      </c>
      <c r="P3" s="18" t="s">
        <v>11</v>
      </c>
      <c r="Q3" s="18"/>
      <c r="R3" s="18"/>
      <c r="S3" s="18"/>
      <c r="T3" s="16" t="s">
        <v>13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14</v>
      </c>
      <c r="L5" s="18"/>
      <c r="M5" s="18"/>
      <c r="N5" s="18"/>
      <c r="O5" s="24" t="n">
        <v>45748</v>
      </c>
      <c r="P5" s="18" t="s">
        <v>14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15</v>
      </c>
      <c r="L6" s="18"/>
      <c r="M6" s="18"/>
      <c r="N6" s="18"/>
      <c r="O6" s="27" t="n">
        <f aca="false">(MAX($G15:$G39,K15:K39))-O$5+1</f>
        <v>548</v>
      </c>
      <c r="P6" s="18" t="s">
        <v>15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16</v>
      </c>
      <c r="L7" s="18"/>
      <c r="M7" s="18"/>
      <c r="N7" s="18"/>
      <c r="O7" s="29" t="n">
        <f aca="false">IFERROR(SUM(O$45:O$79),0)</f>
        <v>3603287.67123288</v>
      </c>
      <c r="P7" s="18" t="s">
        <v>16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17</v>
      </c>
      <c r="L8" s="18"/>
      <c r="M8" s="18"/>
      <c r="N8" s="18"/>
      <c r="O8" s="29" t="n">
        <f aca="false">O$7*0.67</f>
        <v>2414202.73972603</v>
      </c>
      <c r="P8" s="18" t="s">
        <v>17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18</v>
      </c>
      <c r="L9" s="18"/>
      <c r="M9" s="18"/>
      <c r="N9" s="18"/>
      <c r="O9" s="29" t="n">
        <f aca="false">O$7-O$8</f>
        <v>1189084.93150685</v>
      </c>
      <c r="P9" s="18" t="s">
        <v>18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19</v>
      </c>
      <c r="L14" s="35"/>
      <c r="M14" s="35"/>
      <c r="N14" s="35"/>
      <c r="O14" s="36"/>
      <c r="P14" s="35" t="s">
        <v>19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20</v>
      </c>
      <c r="D15" s="40" t="s">
        <v>21</v>
      </c>
      <c r="E15" s="41" t="s">
        <v>22</v>
      </c>
      <c r="F15" s="41" t="s">
        <v>23</v>
      </c>
      <c r="G15" s="41" t="s">
        <v>24</v>
      </c>
      <c r="H15" s="41" t="s">
        <v>25</v>
      </c>
      <c r="I15" s="41" t="s">
        <v>26</v>
      </c>
      <c r="J15" s="42" t="s">
        <v>27</v>
      </c>
      <c r="K15" s="43" t="s">
        <v>28</v>
      </c>
      <c r="L15" s="44"/>
      <c r="M15" s="40" t="s">
        <v>29</v>
      </c>
      <c r="N15" s="40" t="s">
        <v>30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28</v>
      </c>
      <c r="Q15" s="44"/>
      <c r="R15" s="40" t="s">
        <v>29</v>
      </c>
      <c r="S15" s="40" t="s">
        <v>30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31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32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33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34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35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36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37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38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38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1189084.93150685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39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40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654268.192906737</v>
      </c>
      <c r="O37" s="96" t="n">
        <v>5000000000</v>
      </c>
      <c r="P37" s="92"/>
      <c r="Q37" s="93"/>
      <c r="R37" s="94" t="s">
        <v>40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1308536.38581347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41</v>
      </c>
      <c r="F38" s="100"/>
      <c r="G38" s="101" t="s">
        <v>42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339122.678776506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43</v>
      </c>
      <c r="F39" s="113"/>
      <c r="G39" s="114" t="s">
        <v>44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350720.329067367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45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46</v>
      </c>
      <c r="L44" s="124" t="s">
        <v>47</v>
      </c>
      <c r="M44" s="124" t="s">
        <v>48</v>
      </c>
      <c r="N44" s="124" t="s">
        <v>49</v>
      </c>
      <c r="O44" s="124" t="s">
        <v>50</v>
      </c>
      <c r="P44" s="124" t="s">
        <v>46</v>
      </c>
      <c r="Q44" s="124" t="s">
        <v>47</v>
      </c>
      <c r="R44" s="124" t="s">
        <v>48</v>
      </c>
      <c r="S44" s="124" t="s">
        <v>49</v>
      </c>
      <c r="T44" s="124" t="s">
        <v>50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51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11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52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Пятнадцать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59725.7271533121</v>
      </c>
      <c r="F6" s="138" t="n">
        <f aca="false">IF($B6="","",IF(OR($C6="МП",$C6="РУПК"),"",VLOOKUP($B6,$B$39:$S$1353,13,0)))</f>
        <v>41851.4458997936</v>
      </c>
      <c r="G6" s="138" t="n">
        <f aca="false">IF($B6="","",IF(OR($C6="МП",$C6="РУПК"),"",VLOOKUP($B6,$B$39:$S$1353,16,0)))</f>
        <v>53449.0961906549</v>
      </c>
      <c r="H6" s="138" t="n">
        <f aca="false">IF(B6="","",SUM(D6:G6))</f>
        <v>155026.269243761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Шестнадцать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119451.454306624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119451.454306624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Пятнадцать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53</v>
      </c>
      <c r="J39" s="143" t="s">
        <v>54</v>
      </c>
      <c r="K39" s="146" t="n">
        <f aca="false">SUM(K46:K69)</f>
        <v>59725.7271533121</v>
      </c>
      <c r="L39" s="147"/>
      <c r="M39" s="147"/>
      <c r="N39" s="146" t="n">
        <f aca="false">SUM(N46:N69)</f>
        <v>41851.4458997936</v>
      </c>
      <c r="O39" s="147"/>
      <c r="P39" s="147"/>
      <c r="Q39" s="146" t="n">
        <f aca="false">SUM(Q46:Q69)</f>
        <v>53449.0961906549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55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56</v>
      </c>
      <c r="D44" s="159" t="n">
        <f aca="false">HLOOKUP(B39,калькулятор!$3:$5,3,0)</f>
        <v>45748</v>
      </c>
      <c r="I44" s="160" t="s">
        <v>57</v>
      </c>
      <c r="J44" s="161"/>
      <c r="K44" s="162" t="n">
        <f aca="false">D67</f>
        <v>46336</v>
      </c>
      <c r="L44" s="163" t="s">
        <v>57</v>
      </c>
      <c r="M44" s="163"/>
      <c r="N44" s="163" t="n">
        <f aca="false">D68</f>
        <v>46428</v>
      </c>
      <c r="O44" s="163" t="s">
        <v>57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58</v>
      </c>
      <c r="C45" s="165" t="s">
        <v>59</v>
      </c>
      <c r="D45" s="166" t="s">
        <v>60</v>
      </c>
      <c r="E45" s="166" t="s">
        <v>61</v>
      </c>
      <c r="F45" s="167" t="s">
        <v>62</v>
      </c>
      <c r="H45" s="168"/>
      <c r="I45" s="169" t="s">
        <v>63</v>
      </c>
      <c r="J45" s="163" t="s">
        <v>64</v>
      </c>
      <c r="K45" s="170" t="s">
        <v>65</v>
      </c>
      <c r="L45" s="169" t="s">
        <v>63</v>
      </c>
      <c r="M45" s="163" t="s">
        <v>64</v>
      </c>
      <c r="N45" s="171" t="s">
        <v>65</v>
      </c>
      <c r="O45" s="172" t="s">
        <v>63</v>
      </c>
      <c r="P45" s="163" t="s">
        <v>64</v>
      </c>
      <c r="Q45" s="171" t="s">
        <v>65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19937.5336460875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11966.8638769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13899.8055920435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8079.26200037531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6037.72805404391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7970.66976918747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594542.465753424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297271.232876712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297271.232876712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297271.232876712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297271.232876712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Шестнадцать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53</v>
      </c>
      <c r="J73" s="143" t="s">
        <v>54</v>
      </c>
      <c r="K73" s="146" t="n">
        <f aca="false">SUM(K80:K103)</f>
        <v>119451.454306624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55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56</v>
      </c>
      <c r="D78" s="159" t="n">
        <f aca="false">HLOOKUP(B73,калькулятор!$3:$5,3,0)</f>
        <v>45748</v>
      </c>
      <c r="I78" s="160" t="s">
        <v>57</v>
      </c>
      <c r="J78" s="161"/>
      <c r="K78" s="162" t="n">
        <f aca="false">D101</f>
        <v>46336</v>
      </c>
      <c r="L78" s="163" t="s">
        <v>57</v>
      </c>
      <c r="M78" s="163"/>
      <c r="N78" s="163" t="str">
        <f aca="false">D102</f>
        <v/>
      </c>
      <c r="O78" s="163" t="s">
        <v>57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58</v>
      </c>
      <c r="C79" s="165" t="s">
        <v>59</v>
      </c>
      <c r="D79" s="166" t="s">
        <v>60</v>
      </c>
      <c r="E79" s="166" t="s">
        <v>61</v>
      </c>
      <c r="F79" s="167" t="s">
        <v>62</v>
      </c>
      <c r="H79" s="168"/>
      <c r="I79" s="169" t="s">
        <v>63</v>
      </c>
      <c r="J79" s="163" t="s">
        <v>64</v>
      </c>
      <c r="K79" s="170" t="s">
        <v>65</v>
      </c>
      <c r="L79" s="169" t="s">
        <v>63</v>
      </c>
      <c r="M79" s="163" t="s">
        <v>64</v>
      </c>
      <c r="N79" s="171" t="s">
        <v>65</v>
      </c>
      <c r="O79" s="172" t="s">
        <v>63</v>
      </c>
      <c r="P79" s="163" t="s">
        <v>64</v>
      </c>
      <c r="Q79" s="171" t="s">
        <v>65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39875.0672921749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31708.9315068493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23716.5432914243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16158.5240007506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7992.38821542503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1189084.93150685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1189084.93150685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53</v>
      </c>
      <c r="J107" s="143" t="s">
        <v>54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55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56</v>
      </c>
      <c r="D112" s="159" t="e">
        <f aca="false">HLOOKUP(B107,калькулятор!$3:$5,3,0)</f>
        <v>#VALUE!</v>
      </c>
      <c r="I112" s="160" t="s">
        <v>57</v>
      </c>
      <c r="J112" s="161"/>
      <c r="K112" s="162" t="n">
        <f aca="false">D135</f>
        <v>46336</v>
      </c>
      <c r="L112" s="163" t="s">
        <v>57</v>
      </c>
      <c r="M112" s="163"/>
      <c r="N112" s="163" t="str">
        <f aca="false">D136</f>
        <v/>
      </c>
      <c r="O112" s="163" t="s">
        <v>57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58</v>
      </c>
      <c r="C113" s="165" t="s">
        <v>59</v>
      </c>
      <c r="D113" s="166" t="s">
        <v>60</v>
      </c>
      <c r="E113" s="166" t="s">
        <v>61</v>
      </c>
      <c r="F113" s="167" t="s">
        <v>62</v>
      </c>
      <c r="H113" s="168"/>
      <c r="I113" s="169" t="s">
        <v>63</v>
      </c>
      <c r="J113" s="163" t="s">
        <v>64</v>
      </c>
      <c r="K113" s="170" t="s">
        <v>65</v>
      </c>
      <c r="L113" s="169" t="s">
        <v>63</v>
      </c>
      <c r="M113" s="163" t="s">
        <v>64</v>
      </c>
      <c r="N113" s="171" t="s">
        <v>65</v>
      </c>
      <c r="O113" s="172" t="s">
        <v>63</v>
      </c>
      <c r="P113" s="163" t="s">
        <v>64</v>
      </c>
      <c r="Q113" s="171" t="s">
        <v>65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66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67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68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69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70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11</v>
      </c>
      <c r="C12" s="229" t="s">
        <v>71</v>
      </c>
      <c r="D12" s="230" t="s">
        <v>72</v>
      </c>
      <c r="E12" s="231" t="s">
        <v>73</v>
      </c>
      <c r="F12" s="231" t="s">
        <v>74</v>
      </c>
      <c r="G12" s="232" t="s">
        <v>75</v>
      </c>
      <c r="H12" s="231" t="s">
        <v>76</v>
      </c>
      <c r="I12" s="232" t="s">
        <v>77</v>
      </c>
      <c r="J12" s="233"/>
    </row>
    <row r="13" customFormat="false" ht="15" hidden="false" customHeight="false" outlineLevel="0" collapsed="false">
      <c r="B13" s="234" t="s">
        <v>78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79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80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81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82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83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84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85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86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87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88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55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67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68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69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11</v>
      </c>
      <c r="C37" s="248" t="s">
        <v>89</v>
      </c>
      <c r="D37" s="249" t="s">
        <v>72</v>
      </c>
      <c r="E37" s="250" t="s">
        <v>73</v>
      </c>
      <c r="F37" s="250" t="s">
        <v>74</v>
      </c>
      <c r="G37" s="250"/>
      <c r="J37" s="241"/>
    </row>
    <row r="38" customFormat="false" ht="15" hidden="false" customHeight="false" outlineLevel="0" collapsed="false">
      <c r="B38" s="251" t="s">
        <v>78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79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80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81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82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83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84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85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86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87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88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90</v>
      </c>
      <c r="M1" s="256"/>
      <c r="N1" s="256"/>
    </row>
    <row r="2" customFormat="false" ht="15" hidden="false" customHeight="false" outlineLevel="0" collapsed="false">
      <c r="B2" s="257" t="s">
        <v>91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20</v>
      </c>
      <c r="J2" s="261" t="s">
        <v>103</v>
      </c>
      <c r="K2" s="261" t="s">
        <v>104</v>
      </c>
      <c r="L2" s="262" t="s">
        <v>24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10</v>
      </c>
      <c r="P3" s="264" t="s">
        <v>10</v>
      </c>
      <c r="Q3" s="264" t="s">
        <v>3</v>
      </c>
      <c r="R3" s="264" t="s">
        <v>10</v>
      </c>
      <c r="S3" s="264" t="s">
        <v>10</v>
      </c>
      <c r="T3" s="264" t="s">
        <v>10</v>
      </c>
      <c r="U3" s="264" t="s">
        <v>10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122</v>
      </c>
      <c r="D4" s="264" t="s">
        <v>122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123</v>
      </c>
      <c r="M4" s="265" t="s">
        <v>124</v>
      </c>
      <c r="N4" s="264"/>
      <c r="O4" s="264" t="s">
        <v>10</v>
      </c>
      <c r="P4" s="264" t="s">
        <v>10</v>
      </c>
      <c r="Q4" s="264" t="s">
        <v>3</v>
      </c>
      <c r="R4" s="264" t="s">
        <v>10</v>
      </c>
      <c r="S4" s="264" t="s">
        <v>10</v>
      </c>
      <c r="T4" s="264" t="s">
        <v>10</v>
      </c>
      <c r="U4" s="264" t="s">
        <v>10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125</v>
      </c>
      <c r="D5" s="264" t="s">
        <v>125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126</v>
      </c>
      <c r="M5" s="265" t="s">
        <v>127</v>
      </c>
      <c r="N5" s="264"/>
      <c r="O5" s="264" t="s">
        <v>10</v>
      </c>
      <c r="P5" s="264" t="s">
        <v>3</v>
      </c>
      <c r="Q5" s="264" t="s">
        <v>3</v>
      </c>
      <c r="R5" s="264" t="s">
        <v>10</v>
      </c>
      <c r="S5" s="264" t="s">
        <v>3</v>
      </c>
      <c r="T5" s="264" t="s">
        <v>10</v>
      </c>
      <c r="U5" s="264" t="s">
        <v>10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128</v>
      </c>
      <c r="D6" s="264" t="s">
        <v>128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129</v>
      </c>
      <c r="M6" s="265" t="s">
        <v>130</v>
      </c>
      <c r="N6" s="264"/>
      <c r="O6" s="264" t="s">
        <v>10</v>
      </c>
      <c r="P6" s="264" t="s">
        <v>3</v>
      </c>
      <c r="Q6" s="264" t="s">
        <v>3</v>
      </c>
      <c r="R6" s="264" t="s">
        <v>10</v>
      </c>
      <c r="S6" s="264" t="s">
        <v>3</v>
      </c>
      <c r="T6" s="264" t="s">
        <v>10</v>
      </c>
      <c r="U6" s="264" t="s">
        <v>10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131</v>
      </c>
      <c r="D7" s="264" t="s">
        <v>131</v>
      </c>
      <c r="E7" s="264" t="s">
        <v>10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132</v>
      </c>
      <c r="M7" s="265" t="s">
        <v>133</v>
      </c>
      <c r="N7" s="264"/>
      <c r="O7" s="264" t="s">
        <v>10</v>
      </c>
      <c r="P7" s="264" t="s">
        <v>3</v>
      </c>
      <c r="Q7" s="264" t="s">
        <v>3</v>
      </c>
      <c r="R7" s="264" t="s">
        <v>10</v>
      </c>
      <c r="S7" s="264" t="s">
        <v>3</v>
      </c>
      <c r="T7" s="264" t="s">
        <v>10</v>
      </c>
      <c r="U7" s="264" t="s">
        <v>10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