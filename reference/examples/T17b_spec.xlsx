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<sst xmlns="http://schemas.openxmlformats.org/spreadsheetml/2006/main" count="296" uniqueCount="134">
  <si>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</si>
  <si>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</si>
  <si>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</si>
  <si>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</si>
  <si>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</si>
  <si>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 (РП/ЗРП)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</si>
  <si>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</si>
  <si>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</si>
  <si>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</si>
  <si>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</si>
  <si>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Шесть</t>
  </si>
  <si>
    <t xml:space="preserve">Тестова Тридцать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</si>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</sst>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O$7*0.33</f>
        <v>1189084.93150685</v>
      </c>
      <c r="P8" s="18" t="s">
        <v>15</v>
      </c>
      <c r="Q8" s="18"/>
      <c r="R8" s="18"/>
      <c r="S8" s="18"/>
      <c r="T8" s="29" t="n">
        <f aca="false">T$7*0.33</f>
        <v>1189084.93150685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2414202.73972603</v>
      </c>
      <c r="P9" s="18" t="s">
        <v>16</v>
      </c>
      <c r="Q9" s="18"/>
      <c r="R9" s="18"/>
      <c r="S9" s="18"/>
      <c r="T9" s="29" t="n">
        <f aca="false">T$7-T$8</f>
        <v>2414202.73972603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198180.821917808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198180.821917808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198180.821917808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198180.821917808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198180.821917808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198180.821917808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35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2414202.73972603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1328362.69468944</v>
      </c>
      <c r="O37" s="96" t="n">
        <v>5000000000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1328362.69468944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688521.802364421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n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688521.802364421</v>
      </c>
      <c r="T38" s="109" t="n">
        <v>5000000000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712068.546894352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712068.546894352</v>
      </c>
      <c r="T39" s="121" t="n">
        <v>5000000000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Шесть</v>
      </c>
      <c r="C6" s="137" t="str">
        <f aca="false">IFERROR(INDEX(калькулятор!$1:$3,1,MATCH(B6,калькулятор!$3:$3,0)),"")</f>
        <v>КУПК (РП/ЗРП)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121261.324826421</v>
      </c>
      <c r="F6" s="138" t="n">
        <f aca="false">IF($B6="","",IF(OR($C6="МП",$C6="РУПК"),"",VLOOKUP($B6,$B$39:$S$1353,13,0)))</f>
        <v>84971.1174329143</v>
      </c>
      <c r="G6" s="138" t="n">
        <f aca="false">IF($B6="","",IF(OR($C6="МП",$C6="РУПК"),"",VLOOKUP($B6,$B$39:$S$1353,16,0)))</f>
        <v>108517.861962845</v>
      </c>
      <c r="H6" s="138" t="n">
        <f aca="false">IF(B6="","",SUM(D6:G6))</f>
        <v>314750.304222181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Тридцать Семь</v>
      </c>
      <c r="C7" s="137" t="str">
        <f aca="false">IFERROR(INDEX(калькулятор!$1:$3,1,MATCH(B7,калькулятор!$3:$3,0)),"")</f>
        <v>КУПК (РП/ЗРП)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121261.324826421</v>
      </c>
      <c r="F7" s="138" t="n">
        <f aca="false">IF($B7="","",IF(OR($C7="МП",$C7="РУПК"),"",VLOOKUP($B7,$B$39:$S$1353,13,0)))</f>
        <v>84971.1174329143</v>
      </c>
      <c r="G7" s="138" t="n">
        <f aca="false">IF($B7="","",IF(OR($C7="МП",$C7="РУПК"),"",VLOOKUP($B7,$B$39:$S$1353,16,0)))</f>
        <v>108517.861962845</v>
      </c>
      <c r="H7" s="138" t="n">
        <f aca="false">IF(B7="","",SUM(D7:G7))</f>
        <v>314750.304222181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Шесть</v>
      </c>
      <c r="C39" s="142" t="str">
        <f aca="false">INDEX(калькулятор!$1:$3,1,MATCH(B39,калькулятор!$3:$3,0))</f>
        <v>КУПК (РП/ЗРП)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121261.324826421</v>
      </c>
      <c r="L39" s="147"/>
      <c r="M39" s="147"/>
      <c r="N39" s="146" t="n">
        <f aca="false">SUM(N46:N69)</f>
        <v>84971.1174329143</v>
      </c>
      <c r="O39" s="147"/>
      <c r="P39" s="147"/>
      <c r="Q39" s="146" t="n">
        <f aca="false">SUM(Q46:Q69)</f>
        <v>108517.861962845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веха*",0,IF(D46="","",IF(B46="","",IFERROR(C46/33*67,""))))</f>
        <v>402367.123287671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40479.23497842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24296.3599924939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28220.817414149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веха*",0,IF(D47="","",IF(B47="","",IFERROR(C47/33*67,""))))</f>
        <v>402367.123287671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32189.3698630137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20151.4274347908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24075.8848564459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веха*",0,IF(D48="","",IF(B48="","",IFERROR(C48/33*67,""))))</f>
        <v>402367.123287671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24075.8848564459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16094.6849315069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20019.1423531619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веха*",0,IF(D49="","",IF(B49="","",IFERROR(C49/33*67,""))))</f>
        <v>402367.123287671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16403.3501219741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12258.417564271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16182.8749859261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веха*",0,IF(D50="","",IF(B50="","",IFERROR(C50/33*67,""))))</f>
        <v>402367.123287671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8113.48500656784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8113.48500656784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12037.9424282229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веха*",0,IF(D51="","",IF(B51="","",IFERROR(C51/33*67,""))))</f>
        <v>402367.123287671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4056.74250328392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7981.19992493901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веха*",0,IF(D52="","",IF(B52="","",IFERROR(C52/33*67,""))))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веха*",0,IF(D53="","",IF(B53="","",IFERROR(C53/33*67,""))))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веха*",0,IF(D54="","",IF(B54="","",IFERROR(C54/33*67,""))))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веха*",0,IF(D55="","",IF(B55="","",IFERROR(C55/33*67,""))))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веха*",0,IF(D56="","",IF(B56="","",IFERROR(C56/33*67,""))))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веха*",0,IF(D57="","",IF(B57="","",IFERROR(C57/33*67,""))))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веха*",0,IF(D58="","",IF(B58="","",IFERROR(C58/33*67,""))))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веха*",0,IF(D59="","",IF(B59="","",IFERROR(C59/33*67,""))))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веха*",0,IF(D60="","",IF(B60="","",IFERROR(C60/33*67,""))))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веха*",0,IF(D61="","",IF(B61="","",IFERROR(C61/33*67,""))))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веха*",0,IF(D62="","",IF(B62="","",IFERROR(C62/33*67,""))))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веха*",0,IF(D63="","",IF(B63="","",IFERROR(C63/33*67,""))))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веха*",0,IF(D64="","",IF(B64="","",IFERROR(C64/33*67,""))))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веха*",0,IF(D65="","",IF(B65="","",IFERROR(C65/33*67,""))))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1207101.36986301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веха*",0,IF(D67="","",IF(B67="","",IFERROR(C67/33*67,""))))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603550.684931507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603550.684931507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603550.684931507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603550.684931507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Тридцать Семь</v>
      </c>
      <c r="C73" s="142" t="str">
        <f aca="false">INDEX(калькулятор!$1:$3,1,MATCH(B73,калькулятор!$3:$3,0))</f>
        <v>КУПК (РП/ЗРП)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121261.324826421</v>
      </c>
      <c r="L73" s="147"/>
      <c r="M73" s="147"/>
      <c r="N73" s="146" t="n">
        <f aca="false">SUM(N80:N103)</f>
        <v>84971.1174329143</v>
      </c>
      <c r="O73" s="147"/>
      <c r="P73" s="147"/>
      <c r="Q73" s="146" t="n">
        <f aca="false">SUM(Q80:Q103)</f>
        <v>108517.861962845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198180.821917808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веха*",0,IF(D80="","",IF(B80="","",IFERROR(C80/33*67,""))))</f>
        <v>402367.123287671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40479.23497842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24296.3599924939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28220.817414149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198180.821917808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веха*",0,IF(D81="","",IF(B81="","",IFERROR(C81/33*67,""))))</f>
        <v>402367.123287671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32189.3698630137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20151.4274347908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24075.8848564459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198180.821917808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веха*",0,IF(D82="","",IF(B82="","",IFERROR(C82/33*67,""))))</f>
        <v>402367.123287671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24075.8848564459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16094.6849315069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20019.1423531619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198180.821917808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веха*",0,IF(D83="","",IF(B83="","",IFERROR(C83/33*67,""))))</f>
        <v>402367.123287671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16403.3501219741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12258.417564271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16182.8749859261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198180.821917808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веха*",0,IF(D84="","",IF(B84="","",IFERROR(C84/33*67,""))))</f>
        <v>402367.123287671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8113.48500656784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8113.48500656784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12037.9424282229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198180.821917808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веха*",0,IF(D85="","",IF(B85="","",IFERROR(C85/33*67,""))))</f>
        <v>402367.123287671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4056.74250328392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7981.19992493901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веха*",0,IF(D86="","",IF(B86="","",IFERROR(C86/33*67,""))))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веха*",0,IF(D87="","",IF(B87="","",IFERROR(C87/33*67,""))))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веха*",0,IF(D88="","",IF(B88="","",IFERROR(C88/33*67,""))))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веха*",0,IF(D89="","",IF(B89="","",IFERROR(C89/33*67,""))))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веха*",0,IF(D90="","",IF(B90="","",IFERROR(C90/33*67,""))))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веха*",0,IF(D91="","",IF(B91="","",IFERROR(C91/33*67,""))))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веха*",0,IF(D92="","",IF(B92="","",IFERROR(C92/33*67,""))))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веха*",0,IF(D93="","",IF(B93="","",IFERROR(C93/33*67,""))))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веха*",0,IF(D94="","",IF(B94="","",IFERROR(C94/33*67,""))))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веха*",0,IF(D95="","",IF(B95="","",IFERROR(C95/33*67,""))))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веха*",0,IF(D96="","",IF(B96="","",IFERROR(C96/33*67,""))))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веха*",0,IF(D97="","",IF(B97="","",IFERROR(C97/33*67,""))))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веха*",0,IF(D98="","",IF(B98="","",IFERROR(C98/33*67,""))))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веха*",0,IF(D99="","",IF(B99="","",IFERROR(C99/33*67,""))))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2414202.73972603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1207101.36986301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веха*",0,IF(D101="","",IF(B101="","",IFERROR(C101/33*67,""))))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603550.684931507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603550.684931507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603550.684931507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603550.684931507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веха*",0,IF(D114="","",IF(B114="","",IFERROR(C114/33*67,""))))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веха*",0,IF(D115="","",IF(B115="","",IFERROR(C115/33*67,""))))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веха*",0,IF(D116="","",IF(B116="","",IFERROR(C116/33*67,""))))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веха*",0,IF(D117="","",IF(B117="","",IFERROR(C117/33*67,""))))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веха*",0,IF(D118="","",IF(B118="","",IFERROR(C118/33*67,""))))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веха*",0,IF(D119="","",IF(B119="","",IFERROR(C119/33*67,""))))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веха*",0,IF(D120="","",IF(B120="","",IFERROR(C120/33*67,""))))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веха*",0,IF(D121="","",IF(B121="","",IFERROR(C121/33*67,""))))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веха*",0,IF(D122="","",IF(B122="","",IFERROR(C122/33*67,""))))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веха*",0,IF(D123="","",IF(B123="","",IFERROR(C123/33*67,""))))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веха*",0,IF(D124="","",IF(B124="","",IFERROR(C124/33*67,""))))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веха*",0,IF(D125="","",IF(B125="","",IFERROR(C125/33*67,""))))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веха*",0,IF(D126="","",IF(B126="","",IFERROR(C126/33*67,""))))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веха*",0,IF(D127="","",IF(B127="","",IFERROR(C127/33*67,""))))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веха*",0,IF(D128="","",IF(B128="","",IFERROR(C128/33*67,""))))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веха*",0,IF(D129="","",IF(B129="","",IFERROR(C129/33*67,""))))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веха*",0,IF(D130="","",IF(B130="","",IFERROR(C130/33*67,""))))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веха*",0,IF(D131="","",IF(B131="","",IFERROR(C131/33*67,""))))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веха*",0,IF(D132="","",IF(B132="","",IFERROR(C132/33*67,""))))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веха*",0,IF(D133="","",IF(B133="","",IFERROR(C133/33*67,""))))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веха*",0,IF(D135="","",IF(B135="","",IFERROR(C135/33*67,""))))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5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