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<sst xmlns="http://schemas.openxmlformats.org/spreadsheetml/2006/main" count="296" uniqueCount="134">
  <si>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</si>
  <si>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</si>
  <si>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</si>
  <si>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</si>
  <si>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</si>
  <si>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 (РП/ЗРП)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</si>
  <si>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</si>
  <si>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</si>
  <si>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</si>
  <si>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</si>
  <si>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</si>
  <si>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Четыре</t>
  </si>
  <si>
    <t xml:space="preserve">Тестова Пять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</si>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</sst>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4000000000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4000000000</v>
      </c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1.5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>0.75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6400000000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2800000000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603550.684931507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6400000 000 ₽. Коэф. фин. рез. = 1.5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301775.342465753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2800000 000 ₽. Коэф. фин. рез. = 0.75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603550.684931507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6400000 000 ₽. Коэф. фин. рез. = 1.5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301775.342465753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2800000 000 ₽. Коэф. фин. рез. = 0.75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603550.684931507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6400000 000 ₽. Коэф. фин. рез. = 1.5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301775.342465753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2800000 000 ₽. Коэф. фин. рез. = 0.75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603550.684931507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6400000 000 ₽. Коэф. фин. рез. = 1.5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301775.342465753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2800000 000 ₽. Коэф. фин. рез. = 0.75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603550.684931507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6400000 000 ₽. Коэф. фин. рез. = 1.5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301775.342465753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2800000 000 ₽. Коэф. фин. рез. = 0.75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603550.684931507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6400000 000 ₽. Коэф. фин. рез. = 1.5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301775.342465753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2800000 000 ₽. Коэф. фин. рез. = 0.75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1783627.39726027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6400000 000 ₽. Коэф. фин. рез. = 1.5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891813.698630137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2800000 000 ₽. Коэф. фин. рез. = 0.75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981141.668005254</v>
      </c>
      <c r="O37" s="96" t="n">
        <v>6400000000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490570.834002627</v>
      </c>
      <c r="T37" s="96" t="n">
        <v>2800000000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6400000000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Выплаты приостановлены</v>
      </c>
      <c r="T38" s="109" t="n">
        <v>2800000000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6400000000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T39" s="121" t="n">
        <v>2800000000</v>
      </c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Четыре</v>
      </c>
      <c r="C6" s="137" t="str">
        <f aca="false">IFERROR(INDEX(калькулятор!$1:$3,1,MATCH(B6,калькулятор!$3:$3,0)),"")</f>
        <v>КУПК (РП/ЗРП)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89327.9693751173</v>
      </c>
      <c r="F6" s="138" t="n">
        <f aca="false">IF($B6="","",IF(OR($C6="МП",$C6="РУПК"),"",VLOOKUP($B6,$B$39:$S$1353,13,0)))</f>
        <v>62646.858172265</v>
      </c>
      <c r="G6" s="138" t="n">
        <f aca="false">IF($B6="","",IF(OR($C6="МП",$C6="РУПК"),"",VLOOKUP($B6,$B$39:$S$1353,16,0)))</f>
        <v>80043.333608557</v>
      </c>
      <c r="H6" s="138" t="n">
        <f aca="false">IF(B6="","",SUM(D6:G6))</f>
        <v>232018.161155939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Пять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44663.9846875587</v>
      </c>
      <c r="F7" s="138" t="n">
        <f aca="false">IF($B7="","",IF(OR($C7="МП",$C7="РУПК"),"",VLOOKUP($B7,$B$39:$S$1353,13,0)))</f>
        <v>31323.4290861325</v>
      </c>
      <c r="G7" s="138" t="n">
        <f aca="false">IF($B7="","",IF(OR($C7="МП",$C7="РУПК"),"",VLOOKUP($B7,$B$39:$S$1353,16,0)))</f>
        <v>40021.6668042785</v>
      </c>
      <c r="H7" s="138" t="n">
        <f aca="false">IF(B7="","",SUM(D7:G7))</f>
        <v>116009.08057797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Четыре</v>
      </c>
      <c r="C39" s="142" t="str">
        <f aca="false">INDEX(калькулятор!$1:$3,1,MATCH(B39,калькулятор!$3:$3,0))</f>
        <v>КУПК (РП/ЗРП)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89327.9693751173</v>
      </c>
      <c r="L39" s="147"/>
      <c r="M39" s="147"/>
      <c r="N39" s="146" t="n">
        <f aca="false">SUM(N46:N69)</f>
        <v>62646.858172265</v>
      </c>
      <c r="O39" s="147"/>
      <c r="P39" s="147"/>
      <c r="Q39" s="146" t="n">
        <f aca="false">SUM(Q46:Q69)</f>
        <v>80043.333608557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603550.684931507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297271.232876712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29775.9897917058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17885.1404766373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20784.5530493526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603550.684931507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297271.232876712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23781.698630137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14887.9948958529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17787.4074685682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603550.684931507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297271.232876712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17787.4074685682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11890.8493150685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14790.2618877838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603550.684931507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297271.232876712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11988.5823231376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8991.43674235316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11890.8493150685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603550.684931507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297271.232876712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5994.29116156878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5994.29116156878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8893.70373428411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603550.684931507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297271.232876712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2997.14558078439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5896.55815349972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1783627.39726027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891813.698630137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445906.849315068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445906.849315068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445906.849315068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445906.849315068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Пять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44663.9846875587</v>
      </c>
      <c r="L73" s="147"/>
      <c r="M73" s="147"/>
      <c r="N73" s="146" t="n">
        <f aca="false">SUM(N80:N103)</f>
        <v>31323.4290861325</v>
      </c>
      <c r="O73" s="147"/>
      <c r="P73" s="147"/>
      <c r="Q73" s="146" t="n">
        <f aca="false">SUM(Q80:Q103)</f>
        <v>40021.6668042785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n">
        <f aca="false">D102</f>
        <v>46428</v>
      </c>
      <c r="O78" s="163" t="s">
        <v>56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301775.342465753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148635.616438356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14887.9948958529</v>
      </c>
      <c r="L80" s="178" t="n">
        <f aca="false">I80</f>
        <v>0.16</v>
      </c>
      <c r="M80" s="179" t="n">
        <f aca="false">IFERROR(N78-$D80,"")</f>
        <v>549</v>
      </c>
      <c r="N80" s="180" t="n">
        <f aca="false">IFERROR(IF(OR(C73="КУПК",C73="КУПК (РП/ЗРП)"),E80*L80/365*M80*0.25,0),"")</f>
        <v>8942.57023831863</v>
      </c>
      <c r="O80" s="181" t="n">
        <f aca="false">I80</f>
        <v>0.16</v>
      </c>
      <c r="P80" s="179" t="n">
        <f aca="false">IFERROR(Q78-$D80,"")</f>
        <v>638</v>
      </c>
      <c r="Q80" s="180" t="n">
        <f aca="false">IFERROR(IF(OR(C73="КУПК",C73="КУПК (РП/ЗРП)"),E80*O80/365*P80*0.25,0),"")</f>
        <v>10392.2765246763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301775.342465753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148635.616438356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11890.8493150685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7443.99744792644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8893.70373428411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301775.342465753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148635.616438356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8893.70373428411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5945.42465753425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7395.13094389191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301775.342465753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148635.616438356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5994.29116156878</v>
      </c>
      <c r="L83" s="178" t="n">
        <f aca="false">I83</f>
        <v>0.16</v>
      </c>
      <c r="M83" s="179" t="n">
        <f aca="false">IFERROR(N78-$D83,"")</f>
        <v>276</v>
      </c>
      <c r="N83" s="180" t="n">
        <f aca="false">IFERROR(IF(OR(C73="КУПК",C73="КУПК (РП/ЗРП)"),E83*L83/365*M83*0.25,0),"")</f>
        <v>4495.71837117658</v>
      </c>
      <c r="O83" s="181" t="n">
        <f aca="false">I83</f>
        <v>0.16</v>
      </c>
      <c r="P83" s="179" t="n">
        <f aca="false">IFERROR(Q78-$D83,"")</f>
        <v>365</v>
      </c>
      <c r="Q83" s="180" t="n">
        <f aca="false">IFERROR(IF(OR(C73="КУПК",C73="КУПК (РП/ЗРП)"),E83*O83/365*P83*0.25,0),"")</f>
        <v>5945.42465753425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301775.342465753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148635.616438356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2997.14558078439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2997.14558078439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4446.85186714205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301775.342465753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148635.616438356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1498.57279039219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2948.27907674986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891813.698630137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445906.849315068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222953.424657534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222953.424657534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222953.424657534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222953.424657534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5</v>
      </c>
      <c r="M2" s="256"/>
      <c r="N2" s="256"/>
    </row>
    <row r="3" customFormat="false" ht="15" hidden="false" customHeight="false" outlineLevel="0" collapsed="false">
      <c r="B3" s="257" t="s">
        <v>6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