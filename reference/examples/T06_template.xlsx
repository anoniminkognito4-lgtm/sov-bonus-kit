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<sst xmlns="http://schemas.openxmlformats.org/spreadsheetml/2006/main" count="293" uniqueCount="133">
  <si>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</si>
  <si>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</si>
  <si>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</si>
  <si>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</si>
  <si>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</si>
  <si>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</si>
  <si>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</si>
  <si>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</si>
  <si>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</si>
  <si>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</si>
  <si>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Десять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</si>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</sst>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45980</v>
      </c>
      <c r="I17" s="48" t="n">
        <f aca="false">IF(H17="","",G17-H17)</f>
        <v>-50</v>
      </c>
      <c r="J17" s="52" t="n">
        <f aca="false">IF(H17="","",DATE(YEAR(H17),ROUNDUP(MONTH(H17)/3,0)*3+2,10))</f>
        <v>46063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201183.561643836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46126</v>
      </c>
      <c r="I18" s="65" t="n">
        <f aca="false">IF(H18="","",G18-H18)</f>
        <v>-120</v>
      </c>
      <c r="J18" s="69" t="n">
        <f aca="false">IF(H18="","",DATE(YEAR(H18),ROUNDUP(MONTH(H18)/3,0)*3+2,10))</f>
        <v>46244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0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0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1792635.61643836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1868172.37245262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Десять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75536.7560142616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75536.7560142616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Десять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75536.7560142616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39701.3197222744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201183.561643836</v>
      </c>
      <c r="D47" s="175" t="n">
        <f aca="false">IFERROR(IF(VLOOKUP(B47,калькулятор!E:J,6,0)=0,"",VLOOKUP(B47,калькулятор!E:J,6,0)),"")</f>
        <v>46063</v>
      </c>
      <c r="E47" s="176" t="n">
        <f aca="false">IF(B47="Финальная веха*",0,IF(D47="","",IF(B47="","",IFERROR(C47/67*33,""))))</f>
        <v>99090.4109589041</v>
      </c>
      <c r="F47" s="177"/>
      <c r="H47" s="130"/>
      <c r="I47" s="178" t="n">
        <v>0.16</v>
      </c>
      <c r="J47" s="179" t="n">
        <f aca="false">IFERROR(K44-D47,"")</f>
        <v>273</v>
      </c>
      <c r="K47" s="180" t="n">
        <f aca="false">IFERROR(IF(OR(C39="КУПК",C39="КУПК (РП/ЗРП)"),E47*I47/365*J47*0.5,E47*I47/365*J47),"")</f>
        <v>11858.2716457121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0</v>
      </c>
      <c r="D48" s="175" t="n">
        <f aca="false">IFERROR(IF(VLOOKUP(B48,калькулятор!E:J,6,0)=0,"",VLOOKUP(B48,калькулятор!E:J,6,0)),"")</f>
        <v>46244</v>
      </c>
      <c r="E48" s="176" t="n">
        <f aca="false">IF(B48="Финальная веха*",0,IF(D48="","",IF(B48="","",IFERROR(C48/67*33,""))))</f>
        <v>0</v>
      </c>
      <c r="F48" s="177"/>
      <c r="H48" s="130"/>
      <c r="I48" s="178" t="n">
        <v>0.16</v>
      </c>
      <c r="J48" s="179" t="n">
        <f aca="false">IFERROR(K44-D48,"")</f>
        <v>92</v>
      </c>
      <c r="K48" s="180" t="n">
        <f aca="false">IFERROR(IF(OR(C39="КУПК",C39="КУПК (РП/ЗРП)"),E48*I48/365*J48*0.5,E48*I48/365*J48),"")</f>
        <v>0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15984.7764308501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7992.38821542503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1792635.61643836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1792635.61643836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457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46063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273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46244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92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46152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184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46063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273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46244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92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