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<sst xmlns="http://schemas.openxmlformats.org/spreadsheetml/2006/main" count="298" uniqueCount="135">
  <si>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</si>
  <si>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</si>
  <si>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</si>
  <si>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</si>
  <si>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</si>
  <si>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</si>
  <si>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</si>
  <si>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</si>
  <si>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</si>
  <si>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</si>
  <si>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Четыре</t>
  </si>
  <si>
    <t xml:space="preserve">Тестова Тридцать Пять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</si>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</sst>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O$7*0.67</f>
        <v>2414202.73972603</v>
      </c>
      <c r="P8" s="18" t="s">
        <v>15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1189084.93150685</v>
      </c>
      <c r="P9" s="18" t="s">
        <v>16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 t="s">
        <v>17</v>
      </c>
      <c r="L12" s="18"/>
      <c r="M12" s="18"/>
      <c r="N12" s="18"/>
      <c r="O12" s="33" t="n">
        <v>46112</v>
      </c>
      <c r="P12" s="18" t="s">
        <v>17</v>
      </c>
      <c r="Q12" s="18"/>
      <c r="R12" s="18"/>
      <c r="S12" s="18"/>
      <c r="T12" s="33" t="n">
        <v>46112</v>
      </c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>465797.260273973</v>
      </c>
      <c r="P13" s="18" t="str">
        <f aca="false">IF(T12="","","Остаток бонуса на конец этапа")</f>
        <v>Остаток бонуса на конец этапа</v>
      </c>
      <c r="Q13" s="18"/>
      <c r="R13" s="18"/>
      <c r="S13" s="18"/>
      <c r="T13" s="29" t="n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>465797.260273973</v>
      </c>
    </row>
    <row r="14" customFormat="false" ht="15" hidden="false" customHeight="true" outlineLevel="1" collapsed="false">
      <c r="G14" s="34"/>
      <c r="H14" s="34"/>
      <c r="K14" s="35" t="s">
        <v>18</v>
      </c>
      <c r="L14" s="35"/>
      <c r="M14" s="35"/>
      <c r="N14" s="35"/>
      <c r="O14" s="36"/>
      <c r="P14" s="35" t="s">
        <v>18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19</v>
      </c>
      <c r="D15" s="40" t="s">
        <v>20</v>
      </c>
      <c r="E15" s="41" t="s">
        <v>21</v>
      </c>
      <c r="F15" s="41" t="s">
        <v>22</v>
      </c>
      <c r="G15" s="41" t="s">
        <v>23</v>
      </c>
      <c r="H15" s="41" t="s">
        <v>24</v>
      </c>
      <c r="I15" s="41" t="s">
        <v>25</v>
      </c>
      <c r="J15" s="42" t="s">
        <v>26</v>
      </c>
      <c r="K15" s="43" t="s">
        <v>27</v>
      </c>
      <c r="L15" s="44"/>
      <c r="M15" s="40" t="s">
        <v>28</v>
      </c>
      <c r="N15" s="40" t="s">
        <v>29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27</v>
      </c>
      <c r="Q15" s="44"/>
      <c r="R15" s="40" t="s">
        <v>28</v>
      </c>
      <c r="S15" s="40" t="s">
        <v>29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30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31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32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33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34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402367.123287671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35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402367.123287671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36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IF(H36="","",DATE(YEAR(H36),ROUNDUP(MONTH(H36)/3,0)*3+2,10))</f>
        <v>46336</v>
      </c>
      <c r="K36" s="81"/>
      <c r="L36" s="82"/>
      <c r="M36" s="83" t="s">
        <v>37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465797.260273973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37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465797.260273973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38</v>
      </c>
      <c r="F37" s="89"/>
      <c r="G37" s="88"/>
      <c r="H37" s="90" t="n">
        <f aca="false">IF(H36="","",H36)</f>
        <v>46275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39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292450.609720398</v>
      </c>
      <c r="O37" s="96" t="n">
        <v>4750000000</v>
      </c>
      <c r="P37" s="92"/>
      <c r="Q37" s="93"/>
      <c r="R37" s="94" t="s">
        <v>39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292450.609720398</v>
      </c>
      <c r="T37" s="96" t="n">
        <v>5500000000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40</v>
      </c>
      <c r="F38" s="100"/>
      <c r="G38" s="101" t="s">
        <v>41</v>
      </c>
      <c r="H38" s="102" t="n">
        <f aca="false">IF(H36="","",H36+90)</f>
        <v>46365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4750000000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5500000000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42</v>
      </c>
      <c r="F39" s="113"/>
      <c r="G39" s="114" t="s">
        <v>43</v>
      </c>
      <c r="H39" s="115" t="n">
        <f aca="false">IF(H36="","",H38+90)</f>
        <v>46455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4750000000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T39" s="121" t="n">
        <v>5500000000</v>
      </c>
    </row>
    <row r="41" customFormat="false" ht="25.5" hidden="false" customHeight="true" outlineLevel="0" collapsed="false">
      <c r="E41" s="122" t="s">
        <v>44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45</v>
      </c>
      <c r="L44" s="124" t="s">
        <v>46</v>
      </c>
      <c r="M44" s="124" t="s">
        <v>47</v>
      </c>
      <c r="N44" s="124" t="s">
        <v>48</v>
      </c>
      <c r="O44" s="124" t="s">
        <v>49</v>
      </c>
      <c r="P44" s="124" t="s">
        <v>45</v>
      </c>
      <c r="Q44" s="124" t="s">
        <v>46</v>
      </c>
      <c r="R44" s="124" t="s">
        <v>47</v>
      </c>
      <c r="S44" s="124" t="s">
        <v>48</v>
      </c>
      <c r="T44" s="124" t="s">
        <v>49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50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51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Четыре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59551.9795834115</v>
      </c>
      <c r="F6" s="138" t="n">
        <f aca="false">IF($B6="","",IF(OR($C6="МП",$C6="РУПК"),"",VLOOKUP($B6,$B$39:$S$1353,13,0)))</f>
        <v>41764.5721148433</v>
      </c>
      <c r="G6" s="138" t="n">
        <f aca="false">IF($B6="","",IF(OR($C6="МП",$C6="РУПК"),"",VLOOKUP($B6,$B$39:$S$1353,16,0)))</f>
        <v>53362.2224057046</v>
      </c>
      <c r="H6" s="138" t="n">
        <f aca="false">IF(B6="","",SUM(D6:G6))</f>
        <v>154678.77410396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Тридцать Пять</v>
      </c>
      <c r="C7" s="137" t="str">
        <f aca="false">IFERROR(INDEX(калькулятор!$1:$3,1,MATCH(B7,калькулятор!$3:$3,0)),"")</f>
        <v>КУПК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59551.9795834115</v>
      </c>
      <c r="F7" s="138" t="n">
        <f aca="false">IF($B7="","",IF(OR($C7="МП",$C7="РУПК"),"",VLOOKUP($B7,$B$39:$S$1353,13,0)))</f>
        <v>41764.5721148433</v>
      </c>
      <c r="G7" s="138" t="n">
        <f aca="false">IF($B7="","",IF(OR($C7="МП",$C7="РУПК"),"",VLOOKUP($B7,$B$39:$S$1353,16,0)))</f>
        <v>53362.2224057046</v>
      </c>
      <c r="H7" s="138" t="n">
        <f aca="false">IF(B7="","",SUM(D7:G7))</f>
        <v>154678.77410396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Четыре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52</v>
      </c>
      <c r="J39" s="143" t="s">
        <v>53</v>
      </c>
      <c r="K39" s="146" t="n">
        <f aca="false">SUM(K46:K69)</f>
        <v>59551.9795834115</v>
      </c>
      <c r="L39" s="147"/>
      <c r="M39" s="147"/>
      <c r="N39" s="146" t="n">
        <f aca="false">SUM(N46:N69)</f>
        <v>41764.5721148433</v>
      </c>
      <c r="O39" s="147"/>
      <c r="P39" s="147"/>
      <c r="Q39" s="146" t="n">
        <f aca="false">SUM(Q46:Q69)</f>
        <v>53362.2224057046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54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55</v>
      </c>
      <c r="D44" s="159" t="n">
        <f aca="false">HLOOKUP(B39,калькулятор!$3:$5,3,0)</f>
        <v>45748</v>
      </c>
      <c r="I44" s="160" t="s">
        <v>56</v>
      </c>
      <c r="J44" s="161"/>
      <c r="K44" s="162" t="n">
        <f aca="false">D67</f>
        <v>46336</v>
      </c>
      <c r="L44" s="163" t="s">
        <v>56</v>
      </c>
      <c r="M44" s="163"/>
      <c r="N44" s="163" t="n">
        <f aca="false">D68</f>
        <v>46428</v>
      </c>
      <c r="O44" s="163" t="s">
        <v>56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57</v>
      </c>
      <c r="C45" s="165" t="s">
        <v>58</v>
      </c>
      <c r="D45" s="166" t="s">
        <v>59</v>
      </c>
      <c r="E45" s="166" t="s">
        <v>60</v>
      </c>
      <c r="F45" s="167" t="s">
        <v>61</v>
      </c>
      <c r="H45" s="168"/>
      <c r="I45" s="169" t="s">
        <v>62</v>
      </c>
      <c r="J45" s="163" t="s">
        <v>63</v>
      </c>
      <c r="K45" s="170" t="s">
        <v>64</v>
      </c>
      <c r="L45" s="169" t="s">
        <v>62</v>
      </c>
      <c r="M45" s="163" t="s">
        <v>63</v>
      </c>
      <c r="N45" s="171" t="s">
        <v>64</v>
      </c>
      <c r="O45" s="172" t="s">
        <v>62</v>
      </c>
      <c r="P45" s="163" t="s">
        <v>63</v>
      </c>
      <c r="Q45" s="171" t="s">
        <v>64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19850.6598611372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11923.4269844248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13856.3686995684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7992.38821542503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5994.29116156878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7927.23287671233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3996.19410771252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3996.19410771252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5929.13582285607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1998.09705385626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3931.03876899981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465797.260273973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232898.630136986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116449.315068493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116449.315068493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116449.315068493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116449.315068493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Тридцать Пять</v>
      </c>
      <c r="C73" s="142" t="str">
        <f aca="false">INDEX(калькулятор!$1:$3,1,MATCH(B73,калькулятор!$3:$3,0))</f>
        <v>КУПК</v>
      </c>
      <c r="D73" s="143"/>
      <c r="E73" s="143"/>
      <c r="F73" s="144"/>
      <c r="G73" s="144"/>
      <c r="H73" s="144"/>
      <c r="I73" s="145" t="s">
        <v>52</v>
      </c>
      <c r="J73" s="143" t="s">
        <v>53</v>
      </c>
      <c r="K73" s="146" t="n">
        <f aca="false">SUM(K80:K103)</f>
        <v>59551.9795834115</v>
      </c>
      <c r="L73" s="147"/>
      <c r="M73" s="147"/>
      <c r="N73" s="146" t="n">
        <f aca="false">SUM(N80:N103)</f>
        <v>41764.5721148433</v>
      </c>
      <c r="O73" s="147"/>
      <c r="P73" s="147"/>
      <c r="Q73" s="146" t="n">
        <f aca="false">SUM(Q80:Q103)</f>
        <v>53362.2224057046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54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55</v>
      </c>
      <c r="D78" s="159" t="n">
        <f aca="false">HLOOKUP(B73,калькулятор!$3:$5,3,0)</f>
        <v>45748</v>
      </c>
      <c r="I78" s="160" t="s">
        <v>56</v>
      </c>
      <c r="J78" s="161"/>
      <c r="K78" s="162" t="n">
        <f aca="false">D101</f>
        <v>46336</v>
      </c>
      <c r="L78" s="163" t="s">
        <v>56</v>
      </c>
      <c r="M78" s="163"/>
      <c r="N78" s="163" t="n">
        <f aca="false">D102</f>
        <v>46428</v>
      </c>
      <c r="O78" s="163" t="s">
        <v>56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57</v>
      </c>
      <c r="C79" s="165" t="s">
        <v>58</v>
      </c>
      <c r="D79" s="166" t="s">
        <v>59</v>
      </c>
      <c r="E79" s="166" t="s">
        <v>60</v>
      </c>
      <c r="F79" s="167" t="s">
        <v>61</v>
      </c>
      <c r="H79" s="168"/>
      <c r="I79" s="169" t="s">
        <v>62</v>
      </c>
      <c r="J79" s="163" t="s">
        <v>63</v>
      </c>
      <c r="K79" s="170" t="s">
        <v>64</v>
      </c>
      <c r="L79" s="169" t="s">
        <v>62</v>
      </c>
      <c r="M79" s="163" t="s">
        <v>63</v>
      </c>
      <c r="N79" s="171" t="s">
        <v>64</v>
      </c>
      <c r="O79" s="172" t="s">
        <v>62</v>
      </c>
      <c r="P79" s="163" t="s">
        <v>63</v>
      </c>
      <c r="Q79" s="171" t="s">
        <v>64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19850.6598611372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11923.4269844248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13856.3686995684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15854.4657534247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9925.32993056859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11858.2716457121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11858.2716457121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7927.23287671233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9860.17459185589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7992.38821542503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5994.29116156878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7927.23287671233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402367.123287671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198180.821917808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3996.19410771252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3996.19410771252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5929.13582285607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402367.123287671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198180.821917808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1998.09705385626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3931.03876899981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465797.260273973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232898.630136986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116449.315068493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116449.315068493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116449.315068493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116449.315068493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52</v>
      </c>
      <c r="J107" s="143" t="s">
        <v>53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54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55</v>
      </c>
      <c r="D112" s="159" t="e">
        <f aca="false">HLOOKUP(B107,калькулятор!$3:$5,3,0)</f>
        <v>#VALUE!</v>
      </c>
      <c r="I112" s="160" t="s">
        <v>56</v>
      </c>
      <c r="J112" s="161"/>
      <c r="K112" s="162" t="n">
        <f aca="false">D135</f>
        <v>46336</v>
      </c>
      <c r="L112" s="163" t="s">
        <v>56</v>
      </c>
      <c r="M112" s="163"/>
      <c r="N112" s="163" t="str">
        <f aca="false">D136</f>
        <v/>
      </c>
      <c r="O112" s="163" t="s">
        <v>56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57</v>
      </c>
      <c r="C113" s="165" t="s">
        <v>58</v>
      </c>
      <c r="D113" s="166" t="s">
        <v>59</v>
      </c>
      <c r="E113" s="166" t="s">
        <v>60</v>
      </c>
      <c r="F113" s="167" t="s">
        <v>61</v>
      </c>
      <c r="H113" s="168"/>
      <c r="I113" s="169" t="s">
        <v>62</v>
      </c>
      <c r="J113" s="163" t="s">
        <v>63</v>
      </c>
      <c r="K113" s="170" t="s">
        <v>64</v>
      </c>
      <c r="L113" s="169" t="s">
        <v>62</v>
      </c>
      <c r="M113" s="163" t="s">
        <v>63</v>
      </c>
      <c r="N113" s="171" t="s">
        <v>64</v>
      </c>
      <c r="O113" s="172" t="s">
        <v>62</v>
      </c>
      <c r="P113" s="163" t="s">
        <v>63</v>
      </c>
      <c r="Q113" s="171" t="s">
        <v>64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65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66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67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68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69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70</v>
      </c>
      <c r="D12" s="230" t="s">
        <v>71</v>
      </c>
      <c r="E12" s="231" t="s">
        <v>72</v>
      </c>
      <c r="F12" s="231" t="s">
        <v>73</v>
      </c>
      <c r="G12" s="232" t="s">
        <v>74</v>
      </c>
      <c r="H12" s="231" t="s">
        <v>75</v>
      </c>
      <c r="I12" s="232" t="s">
        <v>76</v>
      </c>
      <c r="J12" s="233"/>
    </row>
    <row r="13" customFormat="false" ht="15" hidden="false" customHeight="false" outlineLevel="0" collapsed="false">
      <c r="B13" s="234" t="s">
        <v>77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78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79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80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81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82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83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84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85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86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87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54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66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67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68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88</v>
      </c>
      <c r="D37" s="249" t="s">
        <v>71</v>
      </c>
      <c r="E37" s="250" t="s">
        <v>72</v>
      </c>
      <c r="F37" s="250" t="s">
        <v>73</v>
      </c>
      <c r="G37" s="250"/>
      <c r="J37" s="241"/>
    </row>
    <row r="38" customFormat="false" ht="15" hidden="false" customHeight="false" outlineLevel="0" collapsed="false">
      <c r="B38" s="251" t="s">
        <v>77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78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79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80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81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82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83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84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85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86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87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89</v>
      </c>
      <c r="M1" s="256"/>
      <c r="N1" s="256"/>
    </row>
    <row r="2" customFormat="false" ht="15" hidden="false" customHeight="false" outlineLevel="0" collapsed="false">
      <c r="B2" s="257" t="s">
        <v>90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91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19</v>
      </c>
      <c r="J2" s="261" t="s">
        <v>103</v>
      </c>
      <c r="K2" s="261" t="s">
        <v>104</v>
      </c>
      <c r="L2" s="262" t="s">
        <v>23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121</v>
      </c>
      <c r="P3" s="264" t="s">
        <v>121</v>
      </c>
      <c r="Q3" s="264" t="s">
        <v>3</v>
      </c>
      <c r="R3" s="264" t="s">
        <v>121</v>
      </c>
      <c r="S3" s="264" t="s">
        <v>121</v>
      </c>
      <c r="T3" s="264" t="s">
        <v>121</v>
      </c>
      <c r="U3" s="264" t="s">
        <v>121</v>
      </c>
      <c r="V3" s="264" t="s">
        <v>3</v>
      </c>
      <c r="W3" s="264" t="s">
        <v>122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123</v>
      </c>
      <c r="D4" s="264" t="s">
        <v>123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124</v>
      </c>
      <c r="M4" s="265" t="s">
        <v>125</v>
      </c>
      <c r="N4" s="264"/>
      <c r="O4" s="264" t="s">
        <v>121</v>
      </c>
      <c r="P4" s="264" t="s">
        <v>121</v>
      </c>
      <c r="Q4" s="264" t="s">
        <v>3</v>
      </c>
      <c r="R4" s="264" t="s">
        <v>121</v>
      </c>
      <c r="S4" s="264" t="s">
        <v>121</v>
      </c>
      <c r="T4" s="264" t="s">
        <v>121</v>
      </c>
      <c r="U4" s="264" t="s">
        <v>121</v>
      </c>
      <c r="V4" s="264" t="s">
        <v>3</v>
      </c>
      <c r="W4" s="264" t="s">
        <v>122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126</v>
      </c>
      <c r="D5" s="264" t="s">
        <v>126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127</v>
      </c>
      <c r="M5" s="265" t="s">
        <v>128</v>
      </c>
      <c r="N5" s="264"/>
      <c r="O5" s="264" t="s">
        <v>121</v>
      </c>
      <c r="P5" s="264" t="s">
        <v>3</v>
      </c>
      <c r="Q5" s="264" t="s">
        <v>3</v>
      </c>
      <c r="R5" s="264" t="s">
        <v>121</v>
      </c>
      <c r="S5" s="264" t="s">
        <v>3</v>
      </c>
      <c r="T5" s="264" t="s">
        <v>121</v>
      </c>
      <c r="U5" s="264" t="s">
        <v>121</v>
      </c>
      <c r="V5" s="264" t="s">
        <v>3</v>
      </c>
      <c r="W5" s="264" t="s">
        <v>122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129</v>
      </c>
      <c r="D6" s="264" t="s">
        <v>129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130</v>
      </c>
      <c r="M6" s="265" t="s">
        <v>131</v>
      </c>
      <c r="N6" s="264"/>
      <c r="O6" s="264" t="s">
        <v>121</v>
      </c>
      <c r="P6" s="264" t="s">
        <v>3</v>
      </c>
      <c r="Q6" s="264" t="s">
        <v>3</v>
      </c>
      <c r="R6" s="264" t="s">
        <v>121</v>
      </c>
      <c r="S6" s="264" t="s">
        <v>3</v>
      </c>
      <c r="T6" s="264" t="s">
        <v>121</v>
      </c>
      <c r="U6" s="264" t="s">
        <v>121</v>
      </c>
      <c r="V6" s="264" t="s">
        <v>3</v>
      </c>
      <c r="W6" s="264" t="s">
        <v>122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132</v>
      </c>
      <c r="D7" s="264" t="s">
        <v>132</v>
      </c>
      <c r="E7" s="264" t="s">
        <v>121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133</v>
      </c>
      <c r="M7" s="265" t="s">
        <v>134</v>
      </c>
      <c r="N7" s="264"/>
      <c r="O7" s="264" t="s">
        <v>121</v>
      </c>
      <c r="P7" s="264" t="s">
        <v>3</v>
      </c>
      <c r="Q7" s="264" t="s">
        <v>3</v>
      </c>
      <c r="R7" s="264" t="s">
        <v>121</v>
      </c>
      <c r="S7" s="264" t="s">
        <v>3</v>
      </c>
      <c r="T7" s="264" t="s">
        <v>121</v>
      </c>
      <c r="U7" s="264" t="s">
        <v>121</v>
      </c>
      <c r="V7" s="264" t="s">
        <v>3</v>
      </c>
      <c r="W7" s="264" t="s">
        <v>122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