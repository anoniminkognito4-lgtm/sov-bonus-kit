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<sst xmlns="http://schemas.openxmlformats.org/spreadsheetml/2006/main" count="293" uniqueCount="133">
  <si>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</si>
  <si>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</si>
  <si>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</si>
  <si>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</si>
  <si>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</si>
  <si>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</si>
  <si>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</si>
  <si>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</si>
  <si>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</si>
  <si>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</si>
  <si>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Двадцать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</si>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</sst>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46385</v>
      </c>
      <c r="I36" s="76" t="n">
        <f aca="false">IF(H36="","",G36-H36)</f>
        <v>-90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46428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0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46385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46428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167405.783599174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46475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46517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46565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46609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Двадцать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167405.783599174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167405.783599174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Двадцать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167405.783599174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46428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551</v>
      </c>
      <c r="K46" s="180" t="n">
        <f aca="false">IFERROR(IF(OR(C39="КУПК",C39="КУПК (РП/ЗРП)"),E46*I46/365*J46*0.5,E46*I46/365*J46),"")</f>
        <v>47867.4555075999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457</v>
      </c>
      <c r="K47" s="180" t="n">
        <f aca="false">IFERROR(IF(OR(C39="КУПК",C39="КУПК (РП/ЗРП)"),E47*I47/365*J47*0.5,E47*I47/365*J47),"")</f>
        <v>39701.3197222744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31708.9315068493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278</v>
      </c>
      <c r="K49" s="180" t="n">
        <f aca="false">IFERROR(IF(OR(C39="КУПК",C39="КУПК (РП/ЗРП)"),E49*I49/365*J49*0.5,E49*I49/365*J49),"")</f>
        <v>24150.9122161756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184</v>
      </c>
      <c r="K50" s="180" t="n">
        <f aca="false">IFERROR(IF(OR(C39="КУПК",C39="КУПК (РП/ЗРП)"),E50*I50/365*J50*0.5,E50*I50/365*J50),"")</f>
        <v>15984.7764308501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92</v>
      </c>
      <c r="K51" s="180" t="n">
        <f aca="false">IFERROR(IF(OR(C39="КУПК",C39="КУПК (РП/ЗРП)"),E51*I51/365*J51*0.5,E51*I51/365*J51),"")</f>
        <v>7992.38821542503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0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0</v>
      </c>
      <c r="D67" s="196" t="n">
        <f aca="false">IFERROR(IF(VLOOKUP(B67,калькулятор!E:J,6,0)=0,"",VLOOKUP(B67,калькулятор!E:J,6,0)),"")</f>
        <v>46428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46428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551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457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365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278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184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46428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46428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551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457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278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184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46428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