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<sst xmlns="http://schemas.openxmlformats.org/spreadsheetml/2006/main" count="296" uniqueCount="134">
  <si>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</si>
  <si>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</si>
  <si>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</si>
  <si>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</si>
  <si>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</si>
  <si>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</si>
  <si>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</si>
  <si>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</si>
  <si>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</si>
  <si>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</si>
  <si>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Двадцать Один</t>
  </si>
  <si>
    <t xml:space="preserve">Тестова Двадцать Два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</si>
  <si>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</si>
  <si>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</si>
  <si>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</si>
  <si>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</si>
  <si>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</si>
  <si>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</si>
  <si>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</si>
  <si>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</si>
  <si>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</si>
  <si>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</si>
  <si>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</si>
  <si>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</si>
  <si>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</si>
  <si>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</si>
  <si>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</si>
  <si>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</si>
  <si>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</si>
  <si>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</si>
  <si>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</si>
  <si>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</si>
  <si>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</si>
  <si>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</si>
  <si>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</si>
  <si>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</si>
  <si>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</si>
  <si>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</si>
  <si>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</si>
  <si>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</si>
  <si>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</si>
  <si>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</si>
  <si>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</si>
  <si>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</si>
  <si>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</si>
  <si>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</si>
  <si>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</si>
  <si>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</si>
  <si>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</si>
  <si>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</si>
  <si>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</si>
  <si>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</si>
  <si>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</si>
  <si>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</si>
  <si>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</si>
  <si>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</si>
  <si>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</si>
  <si>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</si>
  <si>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</si>
  <si>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</si>
  <si>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</si>
  <si>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</si>
  <si>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</si>
  <si>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</si>
  <si>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</si>
  <si>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</si>
  <si>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</si>
  <si>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</si>
  <si>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</si>
  <si>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</si>
  <si>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</si>
  <si>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</si>
  <si>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</si>
  <si>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</si>
  <si>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</si>
  <si>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</si>
  <si>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</si>
  <si>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</si>
  <si>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</si>
  <si>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</si>
  <si>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</si>
  <si>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</si>
  <si>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</si>
  <si>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</si>
  <si>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</si>
  <si>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</si>
  <si>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</si>
  <si>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</si>
  <si>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</si>
  <si>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</si>
  <si>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РУПК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</si>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</sst>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5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 t="s">
        <v>7</v>
      </c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 t="s">
        <v>11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>NPV стартовый</v>
      </c>
      <c r="Q4" s="18"/>
      <c r="R4" s="18"/>
      <c r="S4" s="18"/>
      <c r="T4" s="22" t="n">
        <v>5000000000</v>
      </c>
    </row>
    <row r="5" s="7" customFormat="true" ht="15" hidden="false" customHeight="true" outlineLevel="1" collapsed="false">
      <c r="A5" s="1"/>
      <c r="H5" s="23"/>
      <c r="I5" s="23"/>
      <c r="K5" s="18" t="s">
        <v>12</v>
      </c>
      <c r="L5" s="18"/>
      <c r="M5" s="18"/>
      <c r="N5" s="18"/>
      <c r="O5" s="24" t="n">
        <v>45748</v>
      </c>
      <c r="P5" s="18" t="s">
        <v>12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13</v>
      </c>
      <c r="L6" s="18"/>
      <c r="M6" s="18"/>
      <c r="N6" s="18"/>
      <c r="O6" s="27" t="n">
        <f aca="false">(MAX($G15:$G39,K15:K39))-O$5+1</f>
        <v>548</v>
      </c>
      <c r="P6" s="18" t="s">
        <v>13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14</v>
      </c>
      <c r="L7" s="18"/>
      <c r="M7" s="18"/>
      <c r="N7" s="18"/>
      <c r="O7" s="29" t="n">
        <f aca="false">IFERROR(SUM(O$45:O$79),0)</f>
        <v>3603287.67123288</v>
      </c>
      <c r="P7" s="18" t="s">
        <v>14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15</v>
      </c>
      <c r="L8" s="18"/>
      <c r="M8" s="18"/>
      <c r="N8" s="18"/>
      <c r="O8" s="29" t="n">
        <f aca="false">O$7*0.67</f>
        <v>2414202.73972603</v>
      </c>
      <c r="P8" s="18" t="s">
        <v>15</v>
      </c>
      <c r="Q8" s="18"/>
      <c r="R8" s="18"/>
      <c r="S8" s="18"/>
      <c r="T8" s="29" t="n">
        <f aca="false">T$7*0.67</f>
        <v>2414202.73972603</v>
      </c>
    </row>
    <row r="9" customFormat="false" ht="34.5" hidden="false" customHeight="true" outlineLevel="1" collapsed="false">
      <c r="F9" s="15"/>
      <c r="I9" s="20"/>
      <c r="K9" s="18" t="s">
        <v>16</v>
      </c>
      <c r="L9" s="18"/>
      <c r="M9" s="18"/>
      <c r="N9" s="18"/>
      <c r="O9" s="29" t="n">
        <f aca="false">O$7-O$8</f>
        <v>1189084.93150685</v>
      </c>
      <c r="P9" s="18" t="s">
        <v>16</v>
      </c>
      <c r="Q9" s="18"/>
      <c r="R9" s="18"/>
      <c r="S9" s="18"/>
      <c r="T9" s="29" t="n">
        <f aca="false">T$7-T$8</f>
        <v>1189084.93150685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>1</v>
      </c>
      <c r="P10" s="18" t="str">
        <f aca="false">IF(OR(T1="КУПК (РП/ЗРП)",T1="КУПК"),"Коэф.фин.результата этапа","")</f>
        <v>Коэф.фин.результата этапа</v>
      </c>
      <c r="Q10" s="18"/>
      <c r="R10" s="18"/>
      <c r="S10" s="18"/>
      <c r="T10" s="31" t="n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>1</v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5000000000</v>
      </c>
      <c r="P11" s="18" t="str">
        <f aca="false">IF(OR(T1="КУПК (РП/ЗРП)",T1="КУПК"),"NPV текущий","")</f>
        <v>NPV текущий</v>
      </c>
      <c r="Q11" s="18"/>
      <c r="R11" s="18"/>
      <c r="S11" s="18"/>
      <c r="T11" s="31" t="n">
        <v>5000000000</v>
      </c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17</v>
      </c>
      <c r="L14" s="35"/>
      <c r="M14" s="35"/>
      <c r="N14" s="35"/>
      <c r="O14" s="36"/>
      <c r="P14" s="35" t="s">
        <v>17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18</v>
      </c>
      <c r="D15" s="40" t="s">
        <v>19</v>
      </c>
      <c r="E15" s="41" t="s">
        <v>20</v>
      </c>
      <c r="F15" s="41" t="s">
        <v>21</v>
      </c>
      <c r="G15" s="41" t="s">
        <v>22</v>
      </c>
      <c r="H15" s="41" t="s">
        <v>23</v>
      </c>
      <c r="I15" s="41" t="s">
        <v>24</v>
      </c>
      <c r="J15" s="42" t="s">
        <v>25</v>
      </c>
      <c r="K15" s="43" t="s">
        <v>26</v>
      </c>
      <c r="L15" s="44"/>
      <c r="M15" s="40" t="s">
        <v>27</v>
      </c>
      <c r="N15" s="40" t="s">
        <v>28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26</v>
      </c>
      <c r="Q15" s="44"/>
      <c r="R15" s="40" t="s">
        <v>27</v>
      </c>
      <c r="S15" s="40" t="s">
        <v>28</v>
      </c>
      <c r="T15" s="45" t="str">
        <f aca="false">IF(OR(T1="КУПК (РП/ЗРП)",T1="КУПК"),"Комментарий/NPV/KPI","Комментарий")</f>
        <v>Комментарий/NPV/KPI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29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IF(H16="","",DATE(YEAR(H16),ROUNDUP(MONTH(H16)/3,0)*3+2,10))</f>
        <v>45879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5000000 000 ₽. Коэф. фин. рез. = 1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>402367.123287671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>Расчёт при NPV = 5000000 000 ₽. Коэф. фин. рез. = 1</v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30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IF(H17="","",DATE(YEAR(H17),ROUNDUP(MONTH(H17)/3,0)*3+2,10))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5000000 000 ₽. Коэф. фин. рез. = 1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>402367.123287671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>Расчёт при NPV = 5000000 000 ₽. Коэф. фин. рез. = 1</v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31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IF(H18="","",DATE(YEAR(H18),ROUNDUP(MONTH(H18)/3,0)*3+2,10))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5000000 000 ₽. Коэф. фин. рез. = 1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>402367.123287671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>Расчёт при NPV = 5000000 000 ₽. Коэф. фин. рез. = 1</v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32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IF(H19="","",DATE(YEAR(H19),ROUNDUP(MONTH(H19)/3,0)*3+2,10))</f>
        <v>46152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5000000 000 ₽. Коэф. фин. рез. = 1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>402367.123287671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>Расчёт при NPV = 5000000 000 ₽. Коэф. фин. рез. = 1</v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33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IF(H20="","",DATE(YEAR(H20),ROUNDUP(MONTH(H20)/3,0)*3+2,10))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402367.123287671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5000000 000 ₽. Коэф. фин. рез. = 1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>402367.123287671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>Расчёт при NPV = 5000000 000 ₽. Коэф. фин. рез. = 1</v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34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IF(H21="","",DATE(YEAR(H21),ROUNDUP(MONTH(H21)/3,0)*3+2,10))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402367.123287671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5000000 000 ₽. Коэф. фин. рез. = 1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>402367.123287671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>Расчёт при NPV = 5000000 000 ₽. Коэф. фин. рез. = 1</v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35</v>
      </c>
      <c r="F36" s="78"/>
      <c r="G36" s="79" t="n">
        <v>46295</v>
      </c>
      <c r="H36" s="79" t="n">
        <v>46285</v>
      </c>
      <c r="I36" s="76" t="n">
        <f aca="false">IF(H36="","",G36-H36)</f>
        <v>10</v>
      </c>
      <c r="J36" s="80" t="n">
        <f aca="false">IF(H36="","",DATE(YEAR(H36),ROUNDUP(MONTH(H36)/3,0)*3+2,10))</f>
        <v>46336</v>
      </c>
      <c r="K36" s="81"/>
      <c r="L36" s="82"/>
      <c r="M36" s="83" t="s">
        <v>36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1549413.69863014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5000000 000 ₽. Коэф. фин. рез. = 1</v>
      </c>
      <c r="P36" s="81"/>
      <c r="Q36" s="82"/>
      <c r="R36" s="83" t="s">
        <v>36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1549413.69863014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>Расчёт при NPV = 5000000 000 ₽. Коэф. фин. рез. = 1</v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37</v>
      </c>
      <c r="F37" s="89"/>
      <c r="G37" s="88"/>
      <c r="H37" s="90" t="n">
        <f aca="false">IF(H36="","",H36)</f>
        <v>46285</v>
      </c>
      <c r="I37" s="88"/>
      <c r="J37" s="91" t="n">
        <f aca="false">IF(H37="","",DATE(YEAR(H37),ROUNDUP(MONTH(H37)/3,0)*3+2,10))</f>
        <v>46336</v>
      </c>
      <c r="K37" s="92"/>
      <c r="L37" s="93"/>
      <c r="M37" s="94" t="s">
        <v>38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834258.82889848</v>
      </c>
      <c r="O37" s="96" t="n">
        <v>5000000000</v>
      </c>
      <c r="P37" s="92"/>
      <c r="Q37" s="93"/>
      <c r="R37" s="94" t="s">
        <v>38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834258.82889848</v>
      </c>
      <c r="T37" s="96" t="n">
        <v>5000000000</v>
      </c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39</v>
      </c>
      <c r="F38" s="100"/>
      <c r="G38" s="101" t="s">
        <v>40</v>
      </c>
      <c r="H38" s="102" t="n">
        <f aca="false">IF(H36="","",H36+90)</f>
        <v>46375</v>
      </c>
      <c r="I38" s="103"/>
      <c r="J38" s="104" t="n">
        <f aca="false">IF(H38="","",DATE(YEAR(H38),ROUNDUP(MONTH(H38)/3,0)*3+2,10))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n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>429117.996772378</v>
      </c>
      <c r="O38" s="109" t="n">
        <v>5200000000</v>
      </c>
      <c r="P38" s="105"/>
      <c r="Q38" s="106"/>
      <c r="R38" s="107" t="str">
        <f aca="false">(IF(OR(T$1="КУПК",T$1="КУПК (РП/ЗРП)"),"К выплате с процентами:",""))</f>
        <v>К выплате с процентами:</v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>Выплаты приостановлены</v>
      </c>
      <c r="T38" s="109" t="n">
        <v>4800000000</v>
      </c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41</v>
      </c>
      <c r="F39" s="113"/>
      <c r="G39" s="114" t="s">
        <v>42</v>
      </c>
      <c r="H39" s="115" t="n">
        <f aca="false">IF(H36="","",H38+90)</f>
        <v>46465</v>
      </c>
      <c r="I39" s="111"/>
      <c r="J39" s="116" t="n">
        <f aca="false">IF(H39="","",DATE(YEAR(H39),ROUNDUP(MONTH(H39)/3,0)*3+2,10))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>Выплаты приостановлены</v>
      </c>
      <c r="O39" s="121" t="n">
        <v>5000000000</v>
      </c>
      <c r="P39" s="117"/>
      <c r="Q39" s="118"/>
      <c r="R39" s="119" t="str">
        <f aca="false">(IF(OR(T$1="КУПК",T$1="КУПК (РП/ЗРП)"),"К выплате с процентами:",""))</f>
        <v>К выплате с процентами:</v>
      </c>
      <c r="S39" s="120" t="n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>869833.643835616</v>
      </c>
      <c r="T39" s="121" t="n">
        <v>5100000000</v>
      </c>
    </row>
    <row r="41" customFormat="false" ht="25.5" hidden="false" customHeight="true" outlineLevel="0" collapsed="false">
      <c r="E41" s="122" t="s">
        <v>43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44</v>
      </c>
      <c r="L44" s="124" t="s">
        <v>45</v>
      </c>
      <c r="M44" s="124" t="s">
        <v>46</v>
      </c>
      <c r="N44" s="124" t="s">
        <v>47</v>
      </c>
      <c r="O44" s="124" t="s">
        <v>48</v>
      </c>
      <c r="P44" s="124" t="s">
        <v>44</v>
      </c>
      <c r="Q44" s="124" t="s">
        <v>45</v>
      </c>
      <c r="R44" s="124" t="s">
        <v>46</v>
      </c>
      <c r="S44" s="124" t="s">
        <v>47</v>
      </c>
      <c r="T44" s="124" t="s">
        <v>48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49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50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Двадцать Один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59551.9795834115</v>
      </c>
      <c r="F6" s="138" t="n">
        <f aca="false">IF($B6="","",IF(OR($C6="МП",$C6="РУПК"),"",VLOOKUP($B6,$B$39:$S$1353,13,0)))</f>
        <v>41764.5721148433</v>
      </c>
      <c r="G6" s="138" t="n">
        <f aca="false">IF($B6="","",IF(OR($C6="МП",$C6="РУПК"),"",VLOOKUP($B6,$B$39:$S$1353,16,0)))</f>
        <v>53362.2224057046</v>
      </c>
      <c r="H6" s="138" t="n">
        <f aca="false">IF(B6="","",SUM(D6:G6))</f>
        <v>154678.77410396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Двадцать Два</v>
      </c>
      <c r="C7" s="137" t="str">
        <f aca="false">IFERROR(INDEX(калькулятор!$1:$3,1,MATCH(B7,калькулятор!$3:$3,0)),"")</f>
        <v>КУПК</v>
      </c>
      <c r="D7" s="138" t="str">
        <f aca="false">IF(B7="","",IF(OR($C7="КУПК",$C7="КУПК (РП/ЗРП)"),"",VLOOKUP($B7,$B$39:$S$1353,10,0)))</f>
        <v/>
      </c>
      <c r="E7" s="138" t="n">
        <f aca="false">IF($B7="","",IF(OR($C7="МП",$C7="РУПК"),"",VLOOKUP($B7,$B$39:$S$1353,10,0)))</f>
        <v>59551.9795834115</v>
      </c>
      <c r="F7" s="138" t="n">
        <f aca="false">IF($B7="","",IF(OR($C7="МП",$C7="РУПК"),"",VLOOKUP($B7,$B$39:$S$1353,13,0)))</f>
        <v>41764.5721148433</v>
      </c>
      <c r="G7" s="138" t="n">
        <f aca="false">IF($B7="","",IF(OR($C7="МП",$C7="РУПК"),"",VLOOKUP($B7,$B$39:$S$1353,16,0)))</f>
        <v>53362.2224057046</v>
      </c>
      <c r="H7" s="138" t="n">
        <f aca="false">IF(B7="","",SUM(D7:G7))</f>
        <v>154678.77410396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Двадцать Один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51</v>
      </c>
      <c r="J39" s="143" t="s">
        <v>52</v>
      </c>
      <c r="K39" s="146" t="n">
        <f aca="false">SUM(K46:K69)</f>
        <v>59551.9795834115</v>
      </c>
      <c r="L39" s="147"/>
      <c r="M39" s="147"/>
      <c r="N39" s="146" t="n">
        <f aca="false">SUM(N46:N69)</f>
        <v>41764.5721148433</v>
      </c>
      <c r="O39" s="147"/>
      <c r="P39" s="147"/>
      <c r="Q39" s="146" t="n">
        <f aca="false">SUM(Q46:Q69)</f>
        <v>53362.2224057046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53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54</v>
      </c>
      <c r="D44" s="159" t="n">
        <f aca="false">HLOOKUP(B39,калькулятор!$3:$5,3,0)</f>
        <v>45748</v>
      </c>
      <c r="I44" s="160" t="s">
        <v>55</v>
      </c>
      <c r="J44" s="161"/>
      <c r="K44" s="162" t="n">
        <f aca="false">D67</f>
        <v>46336</v>
      </c>
      <c r="L44" s="163" t="s">
        <v>55</v>
      </c>
      <c r="M44" s="163"/>
      <c r="N44" s="163" t="n">
        <f aca="false">D68</f>
        <v>46428</v>
      </c>
      <c r="O44" s="163" t="s">
        <v>55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56</v>
      </c>
      <c r="C45" s="165" t="s">
        <v>57</v>
      </c>
      <c r="D45" s="166" t="s">
        <v>58</v>
      </c>
      <c r="E45" s="166" t="s">
        <v>59</v>
      </c>
      <c r="F45" s="167" t="s">
        <v>60</v>
      </c>
      <c r="H45" s="168"/>
      <c r="I45" s="169" t="s">
        <v>61</v>
      </c>
      <c r="J45" s="163" t="s">
        <v>62</v>
      </c>
      <c r="K45" s="170" t="s">
        <v>63</v>
      </c>
      <c r="L45" s="169" t="s">
        <v>61</v>
      </c>
      <c r="M45" s="163" t="s">
        <v>62</v>
      </c>
      <c r="N45" s="171" t="s">
        <v>63</v>
      </c>
      <c r="O45" s="172" t="s">
        <v>61</v>
      </c>
      <c r="P45" s="163" t="s">
        <v>62</v>
      </c>
      <c r="Q45" s="171" t="s">
        <v>63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45879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n">
        <f aca="false">IFERROR(K44-D46,"")</f>
        <v>457</v>
      </c>
      <c r="K46" s="180" t="n">
        <f aca="false">IFERROR(IF(OR(C39="КУПК",C39="КУПК (РП/ЗРП)"),E46*I46/365*J46*0.5,E46*I46/365*J46),"")</f>
        <v>19850.6598611372</v>
      </c>
      <c r="L46" s="178" t="n">
        <f aca="false">I46</f>
        <v>0.16</v>
      </c>
      <c r="M46" s="179" t="n">
        <f aca="false">IFERROR(N44-$D46,"")</f>
        <v>549</v>
      </c>
      <c r="N46" s="180" t="n">
        <f aca="false">IFERROR(IF(OR(C39="КУПК",C39="КУПК (РП/ЗРП)"),E46*L46/365*M46*0.25,0),"")</f>
        <v>11923.4269844248</v>
      </c>
      <c r="O46" s="181" t="n">
        <f aca="false">I46</f>
        <v>0.16</v>
      </c>
      <c r="P46" s="179" t="n">
        <f aca="false">IFERROR(Q44-$D46,"")</f>
        <v>638</v>
      </c>
      <c r="Q46" s="180" t="n">
        <f aca="false">IFERROR(IF(OR(C39="КУПК",C39="КУПК (РП/ЗРП)"),E46*O46/365*P46*0.25,0),"")</f>
        <v>13856.3686995684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15854.4657534247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9925.32993056859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11858.2716457121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11858.2716457121</v>
      </c>
      <c r="L48" s="178" t="n">
        <f aca="false">I48</f>
        <v>0.16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7927.23287671233</v>
      </c>
      <c r="O48" s="181" t="n">
        <f aca="false">I48</f>
        <v>0.16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9860.17459185589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46152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0.16</v>
      </c>
      <c r="J49" s="179" t="n">
        <f aca="false">IFERROR(K44-D49,"")</f>
        <v>184</v>
      </c>
      <c r="K49" s="180" t="n">
        <f aca="false">IFERROR(IF(OR(C39="КУПК",C39="КУПК (РП/ЗРП)"),E49*I49/365*J49*0.5,E49*I49/365*J49),"")</f>
        <v>7992.38821542503</v>
      </c>
      <c r="L49" s="178" t="n">
        <f aca="false">I49</f>
        <v>0.16</v>
      </c>
      <c r="M49" s="179" t="n">
        <f aca="false">IFERROR(N44-$D49,"")</f>
        <v>276</v>
      </c>
      <c r="N49" s="180" t="n">
        <f aca="false">IFERROR(IF(OR(C39="КУПК",C39="КУПК (РП/ЗРП)"),E49*L49/365*M49*0.25,0),"")</f>
        <v>5994.29116156878</v>
      </c>
      <c r="O49" s="181" t="n">
        <f aca="false">I49</f>
        <v>0.16</v>
      </c>
      <c r="P49" s="179" t="n">
        <f aca="false">IFERROR(Q44-$D49,"")</f>
        <v>365</v>
      </c>
      <c r="Q49" s="180" t="n">
        <f aca="false">IFERROR(IF(OR(C39="КУПК",C39="КУПК (РП/ЗРП)"),E49*O49/365*P49*0.25,0),"")</f>
        <v>7927.23287671233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402367.123287671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198180.821917808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3996.19410771252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3996.19410771252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5929.13582285607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402367.123287671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198180.821917808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1998.09705385626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3931.03876899981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1549413.69863014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774706.849315069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387353.424657534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387353.424657534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387353.424657534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387353.424657534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Двадцать Два</v>
      </c>
      <c r="C73" s="142" t="str">
        <f aca="false">INDEX(калькулятор!$1:$3,1,MATCH(B73,калькулятор!$3:$3,0))</f>
        <v>КУПК</v>
      </c>
      <c r="D73" s="143"/>
      <c r="E73" s="143"/>
      <c r="F73" s="144"/>
      <c r="G73" s="144"/>
      <c r="H73" s="144"/>
      <c r="I73" s="145" t="s">
        <v>51</v>
      </c>
      <c r="J73" s="143" t="s">
        <v>52</v>
      </c>
      <c r="K73" s="146" t="n">
        <f aca="false">SUM(K80:K103)</f>
        <v>59551.9795834115</v>
      </c>
      <c r="L73" s="147"/>
      <c r="M73" s="147"/>
      <c r="N73" s="146" t="n">
        <f aca="false">SUM(N80:N103)</f>
        <v>41764.5721148433</v>
      </c>
      <c r="O73" s="147"/>
      <c r="P73" s="147"/>
      <c r="Q73" s="146" t="n">
        <f aca="false">SUM(Q80:Q103)</f>
        <v>53362.2224057046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53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1 выплата (50%)</v>
      </c>
      <c r="J77" s="156"/>
      <c r="K77" s="156"/>
      <c r="L77" s="157" t="str">
        <f aca="false">IF(OR(C73="КУПК",C73="КУПК (РП/ЗРП)"),"2 выплата (25%)","Выплата")</f>
        <v>2 выплата (25%)</v>
      </c>
      <c r="M77" s="157"/>
      <c r="N77" s="157"/>
      <c r="O77" s="158" t="str">
        <f aca="false">IF(OR(C73="КУПК",C73="КУПК (РП/ЗРП)"),"3 выплата (25%)","Выплата")</f>
        <v>3 выплата (25%)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54</v>
      </c>
      <c r="D78" s="159" t="n">
        <f aca="false">HLOOKUP(B73,калькулятор!$3:$5,3,0)</f>
        <v>45748</v>
      </c>
      <c r="I78" s="160" t="s">
        <v>55</v>
      </c>
      <c r="J78" s="161"/>
      <c r="K78" s="162" t="n">
        <f aca="false">D101</f>
        <v>46336</v>
      </c>
      <c r="L78" s="163" t="s">
        <v>55</v>
      </c>
      <c r="M78" s="163"/>
      <c r="N78" s="163" t="n">
        <f aca="false">D102</f>
        <v>46428</v>
      </c>
      <c r="O78" s="163" t="s">
        <v>55</v>
      </c>
      <c r="P78" s="163"/>
      <c r="Q78" s="163" t="n">
        <f aca="false">D103</f>
        <v>46517</v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56</v>
      </c>
      <c r="C79" s="165" t="s">
        <v>57</v>
      </c>
      <c r="D79" s="166" t="s">
        <v>58</v>
      </c>
      <c r="E79" s="166" t="s">
        <v>59</v>
      </c>
      <c r="F79" s="167" t="s">
        <v>60</v>
      </c>
      <c r="H79" s="168"/>
      <c r="I79" s="169" t="s">
        <v>61</v>
      </c>
      <c r="J79" s="163" t="s">
        <v>62</v>
      </c>
      <c r="K79" s="170" t="s">
        <v>63</v>
      </c>
      <c r="L79" s="169" t="s">
        <v>61</v>
      </c>
      <c r="M79" s="163" t="s">
        <v>62</v>
      </c>
      <c r="N79" s="171" t="s">
        <v>63</v>
      </c>
      <c r="O79" s="172" t="s">
        <v>61</v>
      </c>
      <c r="P79" s="163" t="s">
        <v>62</v>
      </c>
      <c r="Q79" s="171" t="s">
        <v>63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402367.123287671</v>
      </c>
      <c r="D80" s="175" t="n">
        <f aca="false">IFERROR(IF(VLOOKUP(B80,калькулятор!E:J,6,0)=0,"",VLOOKUP(B80,калькулятор!E:J,6,0)),"")</f>
        <v>45879</v>
      </c>
      <c r="E80" s="176" t="n">
        <f aca="false">IF(B80="Финальная веха*",0,IF(D80="","",IF(B80="","",IFERROR(C80/67*33,""))))</f>
        <v>198180.821917808</v>
      </c>
      <c r="F80" s="177"/>
      <c r="H80" s="130"/>
      <c r="I80" s="178" t="n">
        <v>0.16</v>
      </c>
      <c r="J80" s="179" t="n">
        <f aca="false">IFERROR(K78-D80,"")</f>
        <v>457</v>
      </c>
      <c r="K80" s="180" t="n">
        <f aca="false">IFERROR(IF(OR(C73="КУПК",C73="КУПК (РП/ЗРП)"),E80*I80/365*J80*0.5,E80*I80/365*J80),"")</f>
        <v>19850.6598611372</v>
      </c>
      <c r="L80" s="178" t="n">
        <f aca="false">I80</f>
        <v>0.16</v>
      </c>
      <c r="M80" s="179" t="n">
        <f aca="false">IFERROR(N78-$D80,"")</f>
        <v>549</v>
      </c>
      <c r="N80" s="180" t="n">
        <f aca="false">IFERROR(IF(OR(C73="КУПК",C73="КУПК (РП/ЗРП)"),E80*L80/365*M80*0.25,0),"")</f>
        <v>11923.4269844248</v>
      </c>
      <c r="O80" s="181" t="n">
        <f aca="false">I80</f>
        <v>0.16</v>
      </c>
      <c r="P80" s="179" t="n">
        <f aca="false">IFERROR(Q78-$D80,"")</f>
        <v>638</v>
      </c>
      <c r="Q80" s="180" t="n">
        <f aca="false">IFERROR(IF(OR(C73="КУПК",C73="КУПК (РП/ЗРП)"),E80*O80/365*P80*0.25,0),"")</f>
        <v>13856.3686995684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402367.123287671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198180.821917808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15854.4657534247</v>
      </c>
      <c r="L81" s="178" t="n">
        <f aca="false">I81</f>
        <v>0.16</v>
      </c>
      <c r="M81" s="179" t="n">
        <f aca="false">IFERROR(N78-$D81,"")</f>
        <v>457</v>
      </c>
      <c r="N81" s="180" t="n">
        <f aca="false">IFERROR(IF(OR(C73="КУПК",C73="КУПК (РП/ЗРП)"),E81*L81/365*M81*0.25,0),"")</f>
        <v>9925.32993056859</v>
      </c>
      <c r="O81" s="181" t="n">
        <f aca="false">I81</f>
        <v>0.16</v>
      </c>
      <c r="P81" s="179" t="n">
        <f aca="false">IFERROR(Q78-$D81,"")</f>
        <v>546</v>
      </c>
      <c r="Q81" s="180" t="n">
        <f aca="false">IFERROR(IF(OR(C73="КУПК",C73="КУПК (РП/ЗРП)"),E81*O81/365*P81*0.25,0),"")</f>
        <v>11858.2716457121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402367.123287671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веха*",0,IF(D82="","",IF(B82="","",IFERROR(C82/67*33,""))))</f>
        <v>198180.821917808</v>
      </c>
      <c r="F82" s="177"/>
      <c r="H82" s="130"/>
      <c r="I82" s="178" t="n">
        <v>0.16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11858.2716457121</v>
      </c>
      <c r="L82" s="178" t="n">
        <f aca="false">I82</f>
        <v>0.16</v>
      </c>
      <c r="M82" s="179" t="n">
        <f aca="false">IFERROR(N78-$D82,"")</f>
        <v>365</v>
      </c>
      <c r="N82" s="180" t="n">
        <f aca="false">IFERROR(IF(OR(C73="КУПК",C73="КУПК (РП/ЗРП)"),E82*L82/365*M82*0.25,0),"")</f>
        <v>7927.23287671233</v>
      </c>
      <c r="O82" s="181" t="n">
        <f aca="false">I82</f>
        <v>0.16</v>
      </c>
      <c r="P82" s="179" t="n">
        <f aca="false">IFERROR(Q78-$D82,"")</f>
        <v>454</v>
      </c>
      <c r="Q82" s="180" t="n">
        <f aca="false">IFERROR(IF(OR(C73="КУПК",C73="КУПК (РП/ЗРП)"),E82*O82/365*P82*0.25,0),"")</f>
        <v>9860.17459185589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402367.123287671</v>
      </c>
      <c r="D83" s="175" t="n">
        <f aca="false">IFERROR(IF(VLOOKUP(B83,калькулятор!E:J,6,0)=0,"",VLOOKUP(B83,калькулятор!E:J,6,0)),"")</f>
        <v>46152</v>
      </c>
      <c r="E83" s="176" t="n">
        <f aca="false">IF(B83="Финальная веха*",0,IF(D83="","",IF(B83="","",IFERROR(C83/67*33,""))))</f>
        <v>198180.821917808</v>
      </c>
      <c r="F83" s="177"/>
      <c r="H83" s="130"/>
      <c r="I83" s="178" t="n">
        <v>0.16</v>
      </c>
      <c r="J83" s="179" t="n">
        <f aca="false">IFERROR(K78-D83,"")</f>
        <v>184</v>
      </c>
      <c r="K83" s="180" t="n">
        <f aca="false">IFERROR(IF(OR(C73="КУПК",C73="КУПК (РП/ЗРП)"),E83*I83/365*J83*0.5,E83*I83/365*J83),"")</f>
        <v>7992.38821542503</v>
      </c>
      <c r="L83" s="178" t="n">
        <f aca="false">I83</f>
        <v>0.16</v>
      </c>
      <c r="M83" s="179" t="n">
        <f aca="false">IFERROR(N78-$D83,"")</f>
        <v>276</v>
      </c>
      <c r="N83" s="180" t="n">
        <f aca="false">IFERROR(IF(OR(C73="КУПК",C73="КУПК (РП/ЗРП)"),E83*L83/365*M83*0.25,0),"")</f>
        <v>5994.29116156878</v>
      </c>
      <c r="O83" s="181" t="n">
        <f aca="false">I83</f>
        <v>0.16</v>
      </c>
      <c r="P83" s="179" t="n">
        <f aca="false">IFERROR(Q78-$D83,"")</f>
        <v>365</v>
      </c>
      <c r="Q83" s="180" t="n">
        <f aca="false">IFERROR(IF(OR(C73="КУПК",C73="КУПК (РП/ЗРП)"),E83*O83/365*P83*0.25,0),"")</f>
        <v>7927.23287671233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402367.123287671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веха*",0,IF(D84="","",IF(B84="","",IFERROR(C84/67*33,""))))</f>
        <v>198180.821917808</v>
      </c>
      <c r="F84" s="182"/>
      <c r="H84" s="130"/>
      <c r="I84" s="178" t="n">
        <v>0.16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3996.19410771252</v>
      </c>
      <c r="L84" s="178" t="n">
        <f aca="false">I84</f>
        <v>0.16</v>
      </c>
      <c r="M84" s="179" t="n">
        <f aca="false">IFERROR(N78-$D84,"")</f>
        <v>184</v>
      </c>
      <c r="N84" s="180" t="n">
        <f aca="false">IFERROR(IF(OR(C73="КУПК",C73="КУПК (РП/ЗРП)"),E84*L84/365*M84*0.25,0),"")</f>
        <v>3996.19410771252</v>
      </c>
      <c r="O84" s="181" t="n">
        <f aca="false">I84</f>
        <v>0.16</v>
      </c>
      <c r="P84" s="179" t="n">
        <f aca="false">IFERROR(Q78-$D84,"")</f>
        <v>273</v>
      </c>
      <c r="Q84" s="180" t="n">
        <f aca="false">IFERROR(IF(OR(C73="КУПК",C73="КУПК (РП/ЗРП)"),E84*O84/365*P84*0.25,0),"")</f>
        <v>5929.13582285607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402367.123287671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198180.821917808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n">
        <f aca="false">IFERROR(N78-$D85,"")</f>
        <v>92</v>
      </c>
      <c r="N85" s="180" t="n">
        <f aca="false">IFERROR(IF(OR(C73="КУПК",C73="КУПК (РП/ЗРП)"),E85*L85/365*M85*0.25,0),"")</f>
        <v>1998.09705385626</v>
      </c>
      <c r="O85" s="181" t="n">
        <f aca="false">I85</f>
        <v>0.16</v>
      </c>
      <c r="P85" s="179" t="n">
        <f aca="false">IFERROR(Q78-$D85,"")</f>
        <v>181</v>
      </c>
      <c r="Q85" s="180" t="n">
        <f aca="false">IFERROR(IF(OR(C73="КУПК",C73="КУПК (РП/ЗРП)"),E85*O85/365*P85*0.25,0),"")</f>
        <v>3931.03876899981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1549413.69863014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774706.849315069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>Финальная веха (25% ПБ)*</v>
      </c>
      <c r="C102" s="202" t="n">
        <f aca="false">IF(OR(C73="КУПК",C73="КУПК (РП/ЗРП)"),C100*25%,"")</f>
        <v>387353.424657534</v>
      </c>
      <c r="D102" s="203" t="n">
        <f aca="false">IFERROR(IF(VLOOKUP(B102,калькулятор!E:J,6,0)=0,"",VLOOKUP(B102,калькулятор!E:J,6,0)),"")</f>
        <v>46428</v>
      </c>
      <c r="E102" s="176" t="n">
        <f aca="false">C102</f>
        <v>387353.424657534</v>
      </c>
      <c r="F102" s="204"/>
      <c r="I102" s="188"/>
      <c r="J102" s="189"/>
      <c r="K102" s="190"/>
      <c r="L102" s="178"/>
      <c r="M102" s="179" t="n">
        <f aca="false">IF(OR(C73="КУПК",C73="КУПК (РП/ЗРП)"),IF(D101="","",D102-D101),"")</f>
        <v>92</v>
      </c>
      <c r="N102" s="180" t="n">
        <f aca="false">IFERROR(IF(D102="","",IF(OR(C73="КУПК",C73="КУПК (РП/ЗРП)"),E102*L102/365*M102,0)),"")</f>
        <v>0</v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>Финальная веха (25% ПБ) 2 часть*</v>
      </c>
      <c r="C103" s="206" t="n">
        <f aca="false">IF(OR(C73="КУПК",C73="КУПК (РП/ЗРП)"),C100*25%,"")</f>
        <v>387353.424657534</v>
      </c>
      <c r="D103" s="207" t="n">
        <f aca="false">IFERROR(IF(VLOOKUP(B103,калькулятор!E:J,6,0)=0,"",VLOOKUP(B103,калькулятор!E:J,6,0)),"")</f>
        <v>46517</v>
      </c>
      <c r="E103" s="208" t="n">
        <f aca="false">C103</f>
        <v>387353.424657534</v>
      </c>
      <c r="F103" s="209"/>
      <c r="I103" s="188"/>
      <c r="J103" s="189"/>
      <c r="K103" s="190"/>
      <c r="L103" s="188"/>
      <c r="M103" s="189"/>
      <c r="N103" s="190"/>
      <c r="O103" s="181"/>
      <c r="P103" s="179" t="n">
        <f aca="false">IF(OR(C73="КУПК",C73="КУПК (РП/ЗРП)"),IF(D101="","",D103-D101),"")</f>
        <v>181</v>
      </c>
      <c r="Q103" s="180" t="n">
        <f aca="false">IFERROR(IF(D103="","",IF(OR(C73="КУПК",C73="КУПК (РП/ЗРП)"),E103*O103/365*P103,0)),"")</f>
        <v>0</v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51</v>
      </c>
      <c r="J107" s="143" t="s">
        <v>52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53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54</v>
      </c>
      <c r="D112" s="159" t="e">
        <f aca="false">HLOOKUP(B107,калькулятор!$3:$5,3,0)</f>
        <v>#VALUE!</v>
      </c>
      <c r="I112" s="160" t="s">
        <v>55</v>
      </c>
      <c r="J112" s="161"/>
      <c r="K112" s="162" t="n">
        <f aca="false">D135</f>
        <v>46336</v>
      </c>
      <c r="L112" s="163" t="s">
        <v>55</v>
      </c>
      <c r="M112" s="163"/>
      <c r="N112" s="163" t="str">
        <f aca="false">D136</f>
        <v/>
      </c>
      <c r="O112" s="163" t="s">
        <v>55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56</v>
      </c>
      <c r="C113" s="165" t="s">
        <v>57</v>
      </c>
      <c r="D113" s="166" t="s">
        <v>58</v>
      </c>
      <c r="E113" s="166" t="s">
        <v>59</v>
      </c>
      <c r="F113" s="167" t="s">
        <v>60</v>
      </c>
      <c r="H113" s="168"/>
      <c r="I113" s="169" t="s">
        <v>61</v>
      </c>
      <c r="J113" s="163" t="s">
        <v>62</v>
      </c>
      <c r="K113" s="170" t="s">
        <v>63</v>
      </c>
      <c r="L113" s="169" t="s">
        <v>61</v>
      </c>
      <c r="M113" s="163" t="s">
        <v>62</v>
      </c>
      <c r="N113" s="171" t="s">
        <v>63</v>
      </c>
      <c r="O113" s="172" t="s">
        <v>61</v>
      </c>
      <c r="P113" s="163" t="s">
        <v>62</v>
      </c>
      <c r="Q113" s="171" t="s">
        <v>63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457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46152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184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64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65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66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67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68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69</v>
      </c>
      <c r="D12" s="230" t="s">
        <v>70</v>
      </c>
      <c r="E12" s="231" t="s">
        <v>71</v>
      </c>
      <c r="F12" s="231" t="s">
        <v>72</v>
      </c>
      <c r="G12" s="232" t="s">
        <v>73</v>
      </c>
      <c r="H12" s="231" t="s">
        <v>74</v>
      </c>
      <c r="I12" s="232" t="s">
        <v>75</v>
      </c>
      <c r="J12" s="233"/>
    </row>
    <row r="13" customFormat="false" ht="15" hidden="false" customHeight="false" outlineLevel="0" collapsed="false">
      <c r="B13" s="234" t="s">
        <v>76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77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78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79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80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81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82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83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84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85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86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53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65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66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67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87</v>
      </c>
      <c r="D37" s="249" t="s">
        <v>70</v>
      </c>
      <c r="E37" s="250" t="s">
        <v>71</v>
      </c>
      <c r="F37" s="250" t="s">
        <v>72</v>
      </c>
      <c r="G37" s="250"/>
      <c r="J37" s="241"/>
    </row>
    <row r="38" customFormat="false" ht="15" hidden="false" customHeight="false" outlineLevel="0" collapsed="false">
      <c r="B38" s="251" t="s">
        <v>76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77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78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79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80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81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82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83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84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85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86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88</v>
      </c>
      <c r="M1" s="256"/>
      <c r="N1" s="256"/>
    </row>
    <row r="2" customFormat="false" ht="15" hidden="false" customHeight="false" outlineLevel="0" collapsed="false">
      <c r="B2" s="257" t="s">
        <v>89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90</v>
      </c>
      <c r="M4" s="256"/>
      <c r="N4" s="256"/>
    </row>
    <row r="5" customFormat="false" ht="15" hidden="false" customHeight="false" outlineLevel="0" collapsed="false">
      <c r="B5" s="258" t="s">
        <v>91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92</v>
      </c>
      <c r="M10" s="256"/>
      <c r="N10" s="256"/>
    </row>
    <row r="11" customFormat="false" ht="15" hidden="false" customHeight="false" outlineLevel="0" collapsed="false">
      <c r="B11" s="259" t="s">
        <v>93</v>
      </c>
      <c r="M11" s="256"/>
      <c r="N11" s="256"/>
    </row>
    <row r="12" customFormat="false" ht="15" hidden="false" customHeight="false" outlineLevel="0" collapsed="false">
      <c r="B12" s="259" t="s">
        <v>94</v>
      </c>
      <c r="M12" s="256"/>
      <c r="N12" s="256"/>
    </row>
    <row r="13" customFormat="false" ht="15" hidden="false" customHeight="false" outlineLevel="0" collapsed="false">
      <c r="B13" s="259" t="s">
        <v>95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96</v>
      </c>
      <c r="C2" s="261" t="s">
        <v>97</v>
      </c>
      <c r="D2" s="261" t="s">
        <v>98</v>
      </c>
      <c r="E2" s="261" t="s">
        <v>99</v>
      </c>
      <c r="F2" s="261" t="s">
        <v>100</v>
      </c>
      <c r="G2" s="261" t="s">
        <v>0</v>
      </c>
      <c r="H2" s="261" t="s">
        <v>101</v>
      </c>
      <c r="I2" s="261" t="s">
        <v>18</v>
      </c>
      <c r="J2" s="261" t="s">
        <v>102</v>
      </c>
      <c r="K2" s="261" t="s">
        <v>103</v>
      </c>
      <c r="L2" s="262" t="s">
        <v>22</v>
      </c>
      <c r="M2" s="261" t="s">
        <v>104</v>
      </c>
      <c r="N2" s="263" t="s">
        <v>105</v>
      </c>
      <c r="O2" s="261" t="s">
        <v>106</v>
      </c>
      <c r="P2" s="261"/>
      <c r="Q2" s="261" t="s">
        <v>107</v>
      </c>
      <c r="R2" s="261" t="s">
        <v>108</v>
      </c>
      <c r="S2" s="261" t="s">
        <v>109</v>
      </c>
      <c r="T2" s="261" t="s">
        <v>110</v>
      </c>
      <c r="U2" s="261" t="s">
        <v>111</v>
      </c>
      <c r="V2" s="261" t="s">
        <v>112</v>
      </c>
      <c r="W2" s="261" t="s">
        <v>113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114</v>
      </c>
      <c r="C3" s="264" t="s">
        <v>115</v>
      </c>
      <c r="D3" s="264" t="s">
        <v>115</v>
      </c>
      <c r="E3" s="264" t="s">
        <v>3</v>
      </c>
      <c r="F3" s="264" t="s">
        <v>116</v>
      </c>
      <c r="G3" s="264"/>
      <c r="H3" s="264"/>
      <c r="I3" s="264" t="s">
        <v>117</v>
      </c>
      <c r="J3" s="264"/>
      <c r="K3" s="264"/>
      <c r="L3" s="264" t="s">
        <v>118</v>
      </c>
      <c r="M3" s="265" t="s">
        <v>119</v>
      </c>
      <c r="N3" s="264"/>
      <c r="O3" s="264" t="s">
        <v>120</v>
      </c>
      <c r="P3" s="264" t="s">
        <v>120</v>
      </c>
      <c r="Q3" s="264" t="s">
        <v>3</v>
      </c>
      <c r="R3" s="264" t="s">
        <v>120</v>
      </c>
      <c r="S3" s="264" t="s">
        <v>120</v>
      </c>
      <c r="T3" s="264" t="s">
        <v>120</v>
      </c>
      <c r="U3" s="264" t="s">
        <v>120</v>
      </c>
      <c r="V3" s="264" t="s">
        <v>3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114</v>
      </c>
      <c r="C4" s="264" t="s">
        <v>122</v>
      </c>
      <c r="D4" s="264" t="s">
        <v>122</v>
      </c>
      <c r="E4" s="264" t="s">
        <v>3</v>
      </c>
      <c r="F4" s="264" t="s">
        <v>116</v>
      </c>
      <c r="G4" s="264"/>
      <c r="H4" s="264"/>
      <c r="I4" s="264" t="s">
        <v>117</v>
      </c>
      <c r="J4" s="264"/>
      <c r="K4" s="264"/>
      <c r="L4" s="264" t="s">
        <v>123</v>
      </c>
      <c r="M4" s="265" t="s">
        <v>124</v>
      </c>
      <c r="N4" s="264"/>
      <c r="O4" s="264" t="s">
        <v>120</v>
      </c>
      <c r="P4" s="264" t="s">
        <v>120</v>
      </c>
      <c r="Q4" s="264" t="s">
        <v>3</v>
      </c>
      <c r="R4" s="264" t="s">
        <v>120</v>
      </c>
      <c r="S4" s="264" t="s">
        <v>120</v>
      </c>
      <c r="T4" s="264" t="s">
        <v>120</v>
      </c>
      <c r="U4" s="264" t="s">
        <v>120</v>
      </c>
      <c r="V4" s="264" t="s">
        <v>3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114</v>
      </c>
      <c r="C5" s="264" t="s">
        <v>125</v>
      </c>
      <c r="D5" s="264" t="s">
        <v>125</v>
      </c>
      <c r="E5" s="264" t="s">
        <v>3</v>
      </c>
      <c r="F5" s="264" t="s">
        <v>116</v>
      </c>
      <c r="G5" s="264"/>
      <c r="H5" s="264"/>
      <c r="I5" s="264" t="s">
        <v>117</v>
      </c>
      <c r="J5" s="264"/>
      <c r="K5" s="264"/>
      <c r="L5" s="264" t="s">
        <v>126</v>
      </c>
      <c r="M5" s="265" t="s">
        <v>127</v>
      </c>
      <c r="N5" s="264"/>
      <c r="O5" s="264" t="s">
        <v>120</v>
      </c>
      <c r="P5" s="264" t="s">
        <v>3</v>
      </c>
      <c r="Q5" s="264" t="s">
        <v>3</v>
      </c>
      <c r="R5" s="264" t="s">
        <v>120</v>
      </c>
      <c r="S5" s="264" t="s">
        <v>3</v>
      </c>
      <c r="T5" s="264" t="s">
        <v>120</v>
      </c>
      <c r="U5" s="264" t="s">
        <v>120</v>
      </c>
      <c r="V5" s="264" t="s">
        <v>3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114</v>
      </c>
      <c r="C6" s="264" t="s">
        <v>128</v>
      </c>
      <c r="D6" s="264" t="s">
        <v>128</v>
      </c>
      <c r="E6" s="264" t="s">
        <v>3</v>
      </c>
      <c r="F6" s="264" t="s">
        <v>116</v>
      </c>
      <c r="G6" s="264"/>
      <c r="H6" s="264"/>
      <c r="I6" s="264" t="s">
        <v>117</v>
      </c>
      <c r="J6" s="264"/>
      <c r="K6" s="264"/>
      <c r="L6" s="264" t="s">
        <v>129</v>
      </c>
      <c r="M6" s="265" t="s">
        <v>130</v>
      </c>
      <c r="N6" s="264"/>
      <c r="O6" s="264" t="s">
        <v>120</v>
      </c>
      <c r="P6" s="264" t="s">
        <v>3</v>
      </c>
      <c r="Q6" s="264" t="s">
        <v>3</v>
      </c>
      <c r="R6" s="264" t="s">
        <v>120</v>
      </c>
      <c r="S6" s="264" t="s">
        <v>3</v>
      </c>
      <c r="T6" s="264" t="s">
        <v>120</v>
      </c>
      <c r="U6" s="264" t="s">
        <v>120</v>
      </c>
      <c r="V6" s="264" t="s">
        <v>3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114</v>
      </c>
      <c r="C7" s="264" t="s">
        <v>131</v>
      </c>
      <c r="D7" s="264" t="s">
        <v>131</v>
      </c>
      <c r="E7" s="264" t="s">
        <v>120</v>
      </c>
      <c r="F7" s="264" t="s">
        <v>116</v>
      </c>
      <c r="G7" s="264"/>
      <c r="H7" s="264"/>
      <c r="I7" s="264" t="s">
        <v>117</v>
      </c>
      <c r="J7" s="264"/>
      <c r="K7" s="264"/>
      <c r="L7" s="264" t="s">
        <v>132</v>
      </c>
      <c r="M7" s="265" t="s">
        <v>133</v>
      </c>
      <c r="N7" s="264"/>
      <c r="O7" s="264" t="s">
        <v>120</v>
      </c>
      <c r="P7" s="264" t="s">
        <v>3</v>
      </c>
      <c r="Q7" s="264" t="s">
        <v>3</v>
      </c>
      <c r="R7" s="264" t="s">
        <v>120</v>
      </c>
      <c r="S7" s="264" t="s">
        <v>3</v>
      </c>
      <c r="T7" s="264" t="s">
        <v>120</v>
      </c>
      <c r="U7" s="264" t="s">
        <v>120</v>
      </c>
      <c r="V7" s="264" t="s">
        <v>3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