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<sst xmlns="http://schemas.openxmlformats.org/spreadsheetml/2006/main" count="294" uniqueCount="134">
  <si>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</si>
  <si>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</si>
  <si>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</si>
  <si>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</si>
  <si>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</si>
  <si>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</si>
  <si>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</si>
  <si>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</si>
  <si>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</si>
  <si>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</si>
  <si>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Двадцать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</si>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</sst>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 t="s">
        <v>16</v>
      </c>
      <c r="L12" s="18"/>
      <c r="M12" s="18"/>
      <c r="N12" s="18"/>
      <c r="O12" s="33" t="n">
        <v>46112</v>
      </c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>70531.506849315</v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0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0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46325</v>
      </c>
      <c r="I36" s="76" t="n">
        <f aca="false">IF(H36="","",G36-H36)</f>
        <v>-30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46428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70531.506849315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46325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46428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213960.125802214</v>
      </c>
      <c r="O37" s="96"/>
      <c r="P37" s="92"/>
      <c r="Q37" s="93"/>
      <c r="R37" s="94" t="s">
        <v>38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46415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46517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46505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46609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Двадцать Пять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143428.618952899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143428.618952899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Двадцать Пять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143428.618952899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46428</v>
      </c>
      <c r="L44" s="163" t="s">
        <v>55</v>
      </c>
      <c r="M44" s="163"/>
      <c r="N44" s="163" t="str">
        <f aca="false">D68</f>
        <v/>
      </c>
      <c r="O44" s="163" t="s">
        <v>55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551</v>
      </c>
      <c r="K46" s="180" t="n">
        <f aca="false">IFERROR(IF(OR(C39="КУПК",C39="КУПК (РП/ЗРП)"),E46*I46/365*J46*0.5,E46*I46/365*J46),"")</f>
        <v>47867.4555075999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457</v>
      </c>
      <c r="K47" s="180" t="n">
        <f aca="false">IFERROR(IF(OR(C39="КУПК",C39="КУПК (РП/ЗРП)"),E47*I47/365*J47*0.5,E47*I47/365*J47),"")</f>
        <v>39701.3197222744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31708.9315068493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278</v>
      </c>
      <c r="K49" s="180" t="n">
        <f aca="false">IFERROR(IF(OR(C39="КУПК",C39="КУПК (РП/ЗРП)"),E49*I49/365*J49*0.5,E49*I49/365*J49),"")</f>
        <v>24150.9122161756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0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0</v>
      </c>
      <c r="F50" s="182"/>
      <c r="H50" s="130"/>
      <c r="I50" s="178" t="n">
        <v>0.16</v>
      </c>
      <c r="J50" s="179" t="n">
        <f aca="false">IFERROR(K44-D50,"")</f>
        <v>184</v>
      </c>
      <c r="K50" s="180" t="n">
        <f aca="false">IFERROR(IF(OR(C39="КУПК",C39="КУПК (РП/ЗРП)"),E50*I50/365*J50*0.5,E50*I50/365*J50),"")</f>
        <v>0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0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0</v>
      </c>
      <c r="F51" s="177"/>
      <c r="H51" s="130"/>
      <c r="I51" s="178" t="n">
        <v>0.16</v>
      </c>
      <c r="J51" s="179" t="n">
        <f aca="false">IFERROR(K44-D51,"")</f>
        <v>92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70531.506849315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70531.506849315</v>
      </c>
      <c r="D67" s="196" t="n">
        <f aca="false">IFERROR(IF(VLOOKUP(B67,калькулятор!E:J,6,0)=0,"",VLOOKUP(B67,калькулятор!E:J,6,0)),"")</f>
        <v>46428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e">
        <f aca="false">HLOOKUP(B73,калькулятор!$3:$5,3,0)</f>
        <v>#VALUE!</v>
      </c>
      <c r="I78" s="160" t="s">
        <v>55</v>
      </c>
      <c r="J78" s="161"/>
      <c r="K78" s="162" t="n">
        <f aca="false">D101</f>
        <v>46428</v>
      </c>
      <c r="L78" s="163" t="s">
        <v>55</v>
      </c>
      <c r="M78" s="163"/>
      <c r="N78" s="163" t="str">
        <f aca="false">D102</f>
        <v/>
      </c>
      <c r="O78" s="163" t="s">
        <v>55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551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457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365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278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184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46428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46428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551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457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278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184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46428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90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