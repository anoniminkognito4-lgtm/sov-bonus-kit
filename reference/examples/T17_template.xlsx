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<sst xmlns="http://schemas.openxmlformats.org/spreadsheetml/2006/main" count="296" uniqueCount="134">
  <si>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</si>
  <si>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</si>
  <si>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</si>
  <si>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</si>
  <si>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</si>
  <si>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</si>
  <si>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</si>
  <si>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</si>
  <si>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</si>
  <si>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</si>
  <si>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</si>
  <si>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Двадцать Восемь</t>
  </si>
  <si>
    <t xml:space="preserve">Тестова Двадцать Девять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</si>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</sst>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O$7*0.33</f>
        <v>1189084.93150685</v>
      </c>
      <c r="P8" s="18" t="s">
        <v>16</v>
      </c>
      <c r="Q8" s="18"/>
      <c r="R8" s="18"/>
      <c r="S8" s="18"/>
      <c r="T8" s="29" t="n">
        <f aca="false">T$7*0.33</f>
        <v>1189084.93150685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2414202.73972603</v>
      </c>
      <c r="P9" s="18" t="s">
        <v>17</v>
      </c>
      <c r="Q9" s="18"/>
      <c r="R9" s="18"/>
      <c r="S9" s="18"/>
      <c r="T9" s="29" t="n">
        <f aca="false">T$7-T$8</f>
        <v>2414202.73972603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5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198180.821917808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198180.821917808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5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198180.821917808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198180.821917808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5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198180.821917808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198180.821917808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5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198180.821917808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198180.821917808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5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198180.821917808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198180.821917808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5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198180.821917808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198180.821917808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5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5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5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5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5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5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5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5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5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5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5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5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5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5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5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2414202.73972603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2414202.73972603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1236432.94189663</v>
      </c>
      <c r="O37" s="96" t="n">
        <v>5000000000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2472865.88379327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Двадцать Восемь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29331.5720336206</v>
      </c>
      <c r="F6" s="138" t="n">
        <f aca="false">IF($B6="","",IF(OR($C6="МП",$C6="РУПК"),"",VLOOKUP($B6,$B$39:$S$1353,13,0)))</f>
        <v>20570.6101461169</v>
      </c>
      <c r="G6" s="138" t="n">
        <f aca="false">IF($B6="","",IF(OR($C6="МП",$C6="РУПК"),"",VLOOKUP($B6,$B$39:$S$1353,16,0)))</f>
        <v>26282.8856625112</v>
      </c>
      <c r="H6" s="138" t="n">
        <f aca="false">IF(B6="","",SUM(D6:G6))</f>
        <v>76185.0678422487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Двадцать Девять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58663.1440672412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58663.1440672412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Двадцать Восемь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29331.5720336206</v>
      </c>
      <c r="L39" s="147"/>
      <c r="M39" s="147"/>
      <c r="N39" s="146" t="n">
        <f aca="false">SUM(N46:N69)</f>
        <v>20570.6101461169</v>
      </c>
      <c r="O39" s="147"/>
      <c r="P39" s="147"/>
      <c r="Q39" s="146" t="n">
        <f aca="false">SUM(Q46:Q69)</f>
        <v>26282.8856625112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198180.821917808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97611.4496013085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9777.19067787353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5872.73269382119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6824.77861322026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198180.821917808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97611.4496013085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7808.91596810468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4888.59533893677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5840.64125833583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198180.821917808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97611.4496013085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5840.64125833583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3904.45798405234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4856.50390345141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198180.821917808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97611.4496013085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3936.5494195377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2952.41206465328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3904.45798405234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198180.821917808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97611.4496013085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1968.27470976885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1968.27470976885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2920.32062916792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198180.821917808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97611.4496013085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984.137354884426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1936.18327428349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2414202.73972603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1207101.36986301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603550.684931507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603550.684931507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603550.684931507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603550.684931507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Двадцать Девять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58663.1440672412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str">
        <f aca="false">D102</f>
        <v/>
      </c>
      <c r="O78" s="163" t="s">
        <v>56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198180.821917808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97611.4496013085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19554.3813557471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198180.821917808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97611.4496013085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15617.8319362094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198180.821917808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97611.4496013085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11681.2825166717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198180.821917808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97611.4496013085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7873.09883907541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198180.821917808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97611.4496013085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3936.5494195377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198180.821917808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97611.4496013085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2414202.73972603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2414202.73972603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19</v>
      </c>
      <c r="J2" s="261" t="s">
        <v>102</v>
      </c>
      <c r="K2" s="261" t="s">
        <v>103</v>
      </c>
      <c r="L2" s="262" t="s">
        <v>23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