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 codeName="{4D1C537B-E38A-612A-F078-A93A15B4B7F4}"/>
  <workbookPr filterPrivacy="1" codeName="ЭтаКнига"/>
  <xr:revisionPtr revIDLastSave="0" documentId="13_ncr:1_{210CCC06-E2A3-4282-AD72-4E27DF93AE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калькулятор" sheetId="6" r:id="rId1"/>
    <sheet name="проценты на отложенную часть" sheetId="11" state="hidden" r:id="rId2"/>
    <sheet name="+- 30%" sheetId="5" state="hidden" r:id="rId3"/>
    <sheet name="тех.лист" sheetId="4" state="hidden" r:id="rId4"/>
    <sheet name="Лист для загрузки вех" sheetId="7" state="hidden" r:id="rId5"/>
  </sheets>
  <definedNames>
    <definedName name="_xlnm._FilterDatabase" localSheetId="4" hidden="1">'Лист для загрузки вех'!$A$2:$W$998</definedName>
  </definedNames>
  <calcPr fullCalcOnLoad="1"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<sst xmlns="http://schemas.openxmlformats.org/spreadsheetml/2006/main" count="293" uniqueCount="127">
  <si>
    <t>№п/п</t>
  </si>
  <si>
    <t>Плановый срок</t>
  </si>
  <si>
    <t>Фактический  срок выполнения</t>
  </si>
  <si>
    <t>Вес вехи</t>
  </si>
  <si>
    <t>Этап</t>
  </si>
  <si>
    <t>Сумма бонуса вехи</t>
  </si>
  <si>
    <t>Бонус этапа</t>
  </si>
  <si>
    <t>Подлежит индексации</t>
  </si>
  <si>
    <t>Ключевая ставка ЦБ за период</t>
  </si>
  <si>
    <t>Длительность индексации</t>
  </si>
  <si>
    <t>Сумма доплаты по индексации</t>
  </si>
  <si>
    <t>выплата через 1 кв</t>
  </si>
  <si>
    <t>выплата через 2 кв</t>
  </si>
  <si>
    <t>Руководитель проекта</t>
  </si>
  <si>
    <t>Заместитель руководителя проекта</t>
  </si>
  <si>
    <t>КУПК</t>
  </si>
  <si>
    <t>Руководитель группы разработки продукта</t>
  </si>
  <si>
    <t>Менеджер проекта</t>
  </si>
  <si>
    <t>Просрочка/опережение к.дн</t>
  </si>
  <si>
    <t>МП</t>
  </si>
  <si>
    <t>ФИО</t>
  </si>
  <si>
    <t>Для списка 1</t>
  </si>
  <si>
    <t>Для списка 2</t>
  </si>
  <si>
    <t>РУПК</t>
  </si>
  <si>
    <t>Зеленые столбцы запросить в ФГВ</t>
  </si>
  <si>
    <t>Сумма по столбцу "Бонус к распределению" должна быть = 0</t>
  </si>
  <si>
    <t>Количество вех (не считая финальную)</t>
  </si>
  <si>
    <t>Расчётный бонус</t>
  </si>
  <si>
    <t>% перераспределения</t>
  </si>
  <si>
    <t>Бонус к распределению</t>
  </si>
  <si>
    <t>Итого бонус к выплате</t>
  </si>
  <si>
    <t>Финальный бонус этапа без учета К перераспред-ия и до вычета авансов</t>
  </si>
  <si>
    <t>К  перераспределения бонуса</t>
  </si>
  <si>
    <t>Финальный бонус этапа с учетом К перераспред-ия и вычетом авансов, выплаченных по вехам</t>
  </si>
  <si>
    <t>Сотрудник 1</t>
  </si>
  <si>
    <t>Сотрудник 2</t>
  </si>
  <si>
    <t>Сотрудник 3</t>
  </si>
  <si>
    <t>Сотрудник 4</t>
  </si>
  <si>
    <t>Сотрудник 5</t>
  </si>
  <si>
    <t>Сотрудник 6</t>
  </si>
  <si>
    <t>Сотрудник 7</t>
  </si>
  <si>
    <t>Сотрудник 8</t>
  </si>
  <si>
    <t>Сотрудник 9</t>
  </si>
  <si>
    <t>Сотрудник 10</t>
  </si>
  <si>
    <t>Итого (должно быть = 0)</t>
  </si>
  <si>
    <t>Бонус по вехам</t>
  </si>
  <si>
    <t>Финальный бонус этапа</t>
  </si>
  <si>
    <t>Заполнить столбец, выделенный желтым цветом ("% перераспределения")</t>
  </si>
  <si>
    <t>Должность</t>
  </si>
  <si>
    <t>КУПК (РП/ЗРП)</t>
  </si>
  <si>
    <t>Наименование</t>
  </si>
  <si>
    <t>Шаблон</t>
  </si>
  <si>
    <t>Вид</t>
  </si>
  <si>
    <t>Проект</t>
  </si>
  <si>
    <t>Очередь/корпус/строение</t>
  </si>
  <si>
    <t>Заказчик</t>
  </si>
  <si>
    <t>Исполнитель</t>
  </si>
  <si>
    <t>Критерий закрытия</t>
  </si>
  <si>
    <t>Фактический срок</t>
  </si>
  <si>
    <t>Отдел Интерьеров</t>
  </si>
  <si>
    <t xml:space="preserve">Отдел разработки продукта </t>
  </si>
  <si>
    <t>Отдел управлением проектированием</t>
  </si>
  <si>
    <t>Отдел экспертизы АР (ГАП)</t>
  </si>
  <si>
    <t>Строительная группа проектов FIT-OUT</t>
  </si>
  <si>
    <t>Строительная группа</t>
  </si>
  <si>
    <t>Главный специалист ДЭБ</t>
  </si>
  <si>
    <t>Инд. Срок</t>
  </si>
  <si>
    <t>Длительность текущего этапа</t>
  </si>
  <si>
    <t>Сумма на авансы по вехам</t>
  </si>
  <si>
    <t xml:space="preserve">Остаток бонуса на финал этапа (при 100% выполнении сроков) </t>
  </si>
  <si>
    <t>Наименование вехи</t>
  </si>
  <si>
    <t>Корпус/
Строение/
Очередь</t>
  </si>
  <si>
    <t>ячейки с цветом</t>
  </si>
  <si>
    <t>Расчет должен быть для каждого сотрудника персонально</t>
  </si>
  <si>
    <t>сумма</t>
  </si>
  <si>
    <t>Дата выплаты бонуса за веху</t>
  </si>
  <si>
    <t>Финальная веха*</t>
  </si>
  <si>
    <t>Финальная веха (25% ПБ)*</t>
  </si>
  <si>
    <t>Да</t>
  </si>
  <si>
    <t>Статус</t>
  </si>
  <si>
    <t>заполняется СОВ</t>
  </si>
  <si>
    <t>Дата начала работы сотрудника на проекте</t>
  </si>
  <si>
    <t>Индексация до даты:</t>
  </si>
  <si>
    <t>Веха (только вехи авансирования)</t>
  </si>
  <si>
    <t>Сумма бонуса</t>
  </si>
  <si>
    <r>
      <t xml:space="preserve">Дата фактической выплаты 
</t>
    </r>
    <r>
      <rPr>
        <sz val="8"/>
        <rFont val="Calibri"/>
        <family val="2"/>
        <scheme val="minor"/>
      </rPr>
      <t>(10 число после отчетной сессии)</t>
    </r>
  </si>
  <si>
    <t>К выплате (накопленные суммы процентов)</t>
  </si>
  <si>
    <t>Финальная веха (25% ПБ) 2 часть *</t>
  </si>
  <si>
    <t>Финальный бонус без накопленных процентов</t>
  </si>
  <si>
    <t>К выплате с процентами:</t>
  </si>
  <si>
    <t>Дата начала работы на этапе</t>
  </si>
  <si>
    <t>Проектный бонус (ПБ) этапа с учетом % загруженности</t>
  </si>
  <si>
    <t>Итого к выплате за отчётный квартал</t>
  </si>
  <si>
    <t>Начало периода</t>
  </si>
  <si>
    <t>Конец периода</t>
  </si>
  <si>
    <t>Коэффициент загруженности</t>
  </si>
  <si>
    <t>Бонус за период</t>
  </si>
  <si>
    <t>ПБ за период</t>
  </si>
  <si>
    <t>Старт нового этапа</t>
  </si>
  <si>
    <t>Переход из предыдущего этапа (да/нет)</t>
  </si>
  <si>
    <t>Ключевая</t>
  </si>
  <si>
    <t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</si>
  <si>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>Завершены работы по НИС</t>
  </si>
  <si>
    <t>Нет</t>
  </si>
  <si>
    <t>Основная</t>
  </si>
  <si>
    <t>Четвертый этап</t>
  </si>
  <si>
    <t>30.12.2025</t>
  </si>
  <si>
    <t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</si>
  <si>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>Проверить и подтвердить выполнение мотивационной вехи</t>
  </si>
  <si>
    <t>Завершены работы по устройству кровли строений</t>
  </si>
  <si>
    <t>04.03.2026</t>
  </si>
  <si>
    <t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</si>
  <si>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>Назначена</t>
  </si>
  <si>
    <t>Завершены работы по фасадам</t>
  </si>
  <si>
    <t>26.03.2026</t>
  </si>
  <si>
    <t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</si>
  <si>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>Завершены комплексные пуско-наладочные испытания для ЗОС</t>
  </si>
  <si>
    <t>03.04.2026</t>
  </si>
  <si>
    <t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</si>
  <si>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>Получено РнВ</t>
  </si>
  <si>
    <t>16.06.2026</t>
  </si>
  <si>
    <t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</si>
  <si>
    <t xml:space="preserve">Руководитель </t>
  </si>
  <si>
    <t xml:space="preserve">Менеджер </t>
  </si>
  <si>
    <t/>
  </si>
  <si>
    <t/>
  </si>
  <si>
    <t>Отношение к БС (для использования К переданных к перевыставлению затрат)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</si>
</sst>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₽&quot;* #,##0.00_);_(&quot;₽&quot;* \(#,##0.00\);_(&quot;₽&quot;* &quot;-&quot;??_);_(@_)"/>
    <numFmt numFmtId="165" formatCode="0.0%"/>
    <numFmt numFmtId="166" formatCode="dd/mm/yy;@"/>
    <numFmt numFmtId="167" formatCode="dd\.mm\.yyyy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8"/>
      <name val="Arial"/>
      <family val="2"/>
    </font>
    <font>
      <b/>
      <sz val="8"/>
      <name val="Arial"/>
      <family val="2"/>
      <charset val="204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rgb="FF0070C0"/>
      <name val="Calibri"/>
      <family val="2"/>
      <charset val="204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charset val="204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sz val="10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2" tint="-9.9978637043366805E-2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8"/>
      <color theme="2" tint="-9.9978637043366805E-2"/>
      <name val="Calibri"/>
      <family val="2"/>
      <scheme val="minor"/>
    </font>
    <font>
      <b/>
      <sz val="14"/>
      <color rgb="FFFF0000"/>
      <name val="Calibri"/>
      <family val="2"/>
      <charset val="204"/>
      <scheme val="minor"/>
    </font>
    <font>
      <sz val="12"/>
      <name val="Calibri"/>
      <family val="2"/>
      <charset val="204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3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11" fillId="0" borderId="0"/>
    <xf numFmtId="0" fontId="11" fillId="0" borderId="0"/>
    <xf numFmtId="164" fontId="2" fillId="0" borderId="0" applyFont="0" applyFill="0" applyBorder="0" applyAlignment="0" applyProtection="0"/>
  </cellStyleXfs>
  <cellXfs count="300">
    <xf numFmtId="0" fontId="0" fillId="0" borderId="0" xfId="0"/>
    <xf numFmtId="0" fontId="0" fillId="5" borderId="0" xfId="0" applyFill="1"/>
    <xf numFmtId="0" fontId="0" fillId="6" borderId="0" xfId="0" applyFill="1"/>
    <xf numFmtId="0" fontId="0" fillId="0" borderId="12" xfId="0" applyNumberFormat="1" applyFont="1" applyBorder="1" applyAlignment="1">
      <alignment vertical="top"/>
    </xf>
    <xf numFmtId="3" fontId="6" fillId="0" borderId="0" xfId="0" applyNumberFormat="1" applyFont="1" applyFill="1" applyBorder="1"/>
    <xf numFmtId="0" fontId="6" fillId="0" borderId="0" xfId="0" applyFont="1" applyFill="1" applyBorder="1"/>
    <xf numFmtId="0" fontId="6" fillId="0" borderId="0" xfId="0" applyFont="1" applyFill="1" applyBorder="1" applyAlignment="1">
      <alignment horizontal="center"/>
    </xf>
    <xf numFmtId="0" fontId="6" fillId="11" borderId="0" xfId="0" applyFont="1" applyFill="1" applyBorder="1"/>
    <xf numFmtId="3" fontId="8" fillId="11" borderId="0" xfId="0" applyNumberFormat="1" applyFont="1" applyFill="1" applyBorder="1" applyAlignment="1">
      <alignment horizontal="center" vertical="center" wrapText="1"/>
    </xf>
    <xf numFmtId="0" fontId="8" fillId="12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3" fontId="8" fillId="0" borderId="0" xfId="0" applyNumberFormat="1" applyFont="1" applyFill="1" applyBorder="1" applyAlignment="1">
      <alignment horizontal="center" vertical="center" wrapText="1"/>
    </xf>
    <xf numFmtId="3" fontId="6" fillId="11" borderId="0" xfId="0" applyNumberFormat="1" applyFont="1" applyFill="1" applyBorder="1"/>
    <xf numFmtId="9" fontId="6" fillId="12" borderId="0" xfId="0" applyNumberFormat="1" applyFont="1" applyFill="1" applyBorder="1" applyProtection="1">
      <protection locked="0"/>
    </xf>
    <xf numFmtId="10" fontId="6" fillId="0" borderId="0" xfId="1" applyNumberFormat="1" applyFont="1" applyFill="1" applyBorder="1" applyAlignment="1">
      <alignment horizontal="center"/>
    </xf>
    <xf numFmtId="3" fontId="8" fillId="0" borderId="0" xfId="0" applyNumberFormat="1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7" fillId="0" borderId="6" xfId="0" applyFont="1" applyFill="1" applyBorder="1"/>
    <xf numFmtId="0" fontId="6" fillId="0" borderId="7" xfId="0" applyFont="1" applyFill="1" applyBorder="1"/>
    <xf numFmtId="0" fontId="6" fillId="0" borderId="6" xfId="0" applyFont="1" applyFill="1" applyBorder="1"/>
    <xf numFmtId="0" fontId="8" fillId="0" borderId="6" xfId="0" applyFont="1" applyFill="1" applyBorder="1"/>
    <xf numFmtId="0" fontId="8" fillId="11" borderId="6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6" fillId="11" borderId="6" xfId="0" applyFont="1" applyFill="1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0" fillId="0" borderId="6" xfId="0" applyFont="1" applyBorder="1"/>
    <xf numFmtId="3" fontId="0" fillId="0" borderId="0" xfId="0" applyNumberFormat="1" applyBorder="1"/>
    <xf numFmtId="0" fontId="5" fillId="9" borderId="6" xfId="0" applyFont="1" applyFill="1" applyBorder="1" applyAlignment="1">
      <alignment horizontal="center" vertical="center" wrapText="1"/>
    </xf>
    <xf numFmtId="3" fontId="5" fillId="9" borderId="0" xfId="0" applyNumberFormat="1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0" fillId="9" borderId="6" xfId="0" applyFill="1" applyBorder="1"/>
    <xf numFmtId="3" fontId="0" fillId="9" borderId="0" xfId="0" applyNumberFormat="1" applyFill="1" applyBorder="1"/>
    <xf numFmtId="9" fontId="0" fillId="4" borderId="0" xfId="0" applyNumberFormat="1" applyFill="1" applyBorder="1" applyProtection="1">
      <protection locked="0"/>
    </xf>
    <xf numFmtId="3" fontId="5" fillId="0" borderId="0" xfId="0" applyNumberFormat="1" applyFont="1" applyFill="1" applyBorder="1"/>
    <xf numFmtId="0" fontId="0" fillId="10" borderId="12" xfId="0" applyNumberFormat="1" applyFont="1" applyFill="1" applyBorder="1" applyAlignment="1">
      <alignment vertical="top"/>
    </xf>
    <xf numFmtId="0" fontId="0" fillId="10" borderId="0" xfId="0" applyFill="1"/>
    <xf numFmtId="0" fontId="12" fillId="0" borderId="1" xfId="0" applyNumberFormat="1" applyFont="1" applyBorder="1" applyAlignment="1">
      <alignment vertical="top"/>
    </xf>
    <xf numFmtId="0" fontId="12" fillId="10" borderId="1" xfId="0" applyNumberFormat="1" applyFont="1" applyFill="1" applyBorder="1" applyAlignment="1">
      <alignment vertical="top"/>
    </xf>
    <xf numFmtId="0" fontId="12" fillId="14" borderId="1" xfId="0" applyNumberFormat="1" applyFont="1" applyFill="1" applyBorder="1" applyAlignment="1">
      <alignment vertical="top"/>
    </xf>
    <xf numFmtId="0" fontId="4" fillId="0" borderId="0" xfId="0" applyFont="1" applyFill="1"/>
    <xf numFmtId="0" fontId="4" fillId="0" borderId="0" xfId="0" applyFont="1"/>
    <xf numFmtId="3" fontId="4" fillId="0" borderId="0" xfId="0" applyNumberFormat="1" applyFont="1"/>
    <xf numFmtId="0" fontId="4" fillId="0" borderId="0" xfId="0" applyFont="1" applyBorder="1"/>
    <xf numFmtId="4" fontId="15" fillId="0" borderId="2" xfId="0" applyNumberFormat="1" applyFont="1" applyFill="1" applyBorder="1" applyAlignment="1">
      <alignment horizontal="center" vertical="center" wrapText="1"/>
    </xf>
    <xf numFmtId="0" fontId="16" fillId="0" borderId="0" xfId="0" applyFont="1" applyFill="1"/>
    <xf numFmtId="3" fontId="4" fillId="0" borderId="0" xfId="0" applyNumberFormat="1" applyFont="1" applyFill="1"/>
    <xf numFmtId="0" fontId="4" fillId="16" borderId="0" xfId="0" applyFont="1" applyFill="1"/>
    <xf numFmtId="3" fontId="17" fillId="0" borderId="0" xfId="0" applyNumberFormat="1" applyFont="1" applyFill="1"/>
    <xf numFmtId="0" fontId="4" fillId="0" borderId="1" xfId="0" applyFont="1" applyFill="1" applyBorder="1" applyAlignment="1">
      <alignment horizontal="center" vertical="center"/>
    </xf>
    <xf numFmtId="9" fontId="4" fillId="0" borderId="1" xfId="0" applyNumberFormat="1" applyFont="1" applyFill="1" applyBorder="1" applyAlignment="1">
      <alignment horizontal="center" vertical="center"/>
    </xf>
    <xf numFmtId="3" fontId="4" fillId="17" borderId="1" xfId="0" applyNumberFormat="1" applyFont="1" applyFill="1" applyBorder="1" applyAlignment="1">
      <alignment wrapText="1"/>
    </xf>
    <xf numFmtId="0" fontId="4" fillId="0" borderId="1" xfId="0" applyFont="1" applyFill="1" applyBorder="1" applyAlignment="1">
      <alignment horizontal="center"/>
    </xf>
    <xf numFmtId="3" fontId="4" fillId="18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wrapText="1"/>
    </xf>
    <xf numFmtId="0" fontId="4" fillId="17" borderId="17" xfId="0" applyFont="1" applyFill="1" applyBorder="1" applyAlignment="1">
      <alignment horizontal="center" vertical="center" wrapText="1"/>
    </xf>
    <xf numFmtId="0" fontId="4" fillId="17" borderId="31" xfId="0" applyFont="1" applyFill="1" applyBorder="1" applyAlignment="1">
      <alignment horizontal="center" vertical="center"/>
    </xf>
    <xf numFmtId="3" fontId="4" fillId="0" borderId="4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 wrapText="1"/>
    </xf>
    <xf numFmtId="3" fontId="13" fillId="0" borderId="4" xfId="0" applyNumberFormat="1" applyFont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3" fontId="13" fillId="0" borderId="4" xfId="0" applyNumberFormat="1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0" borderId="6" xfId="0" applyFont="1" applyFill="1" applyBorder="1"/>
    <xf numFmtId="0" fontId="4" fillId="0" borderId="0" xfId="0" applyFont="1" applyFill="1" applyBorder="1"/>
    <xf numFmtId="3" fontId="4" fillId="17" borderId="0" xfId="0" applyNumberFormat="1" applyFont="1" applyFill="1" applyBorder="1"/>
    <xf numFmtId="3" fontId="4" fillId="0" borderId="0" xfId="0" applyNumberFormat="1" applyFont="1" applyFill="1" applyBorder="1"/>
    <xf numFmtId="0" fontId="4" fillId="0" borderId="7" xfId="0" applyFont="1" applyFill="1" applyBorder="1"/>
    <xf numFmtId="3" fontId="4" fillId="0" borderId="6" xfId="0" applyNumberFormat="1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3" fontId="4" fillId="0" borderId="6" xfId="0" applyNumberFormat="1" applyFont="1" applyBorder="1" applyAlignment="1">
      <alignment horizontal="left" vertical="center"/>
    </xf>
    <xf numFmtId="0" fontId="3" fillId="0" borderId="0" xfId="0" applyFont="1" applyFill="1" applyBorder="1" applyAlignment="1">
      <alignment wrapText="1"/>
    </xf>
    <xf numFmtId="0" fontId="4" fillId="0" borderId="6" xfId="0" applyFont="1" applyBorder="1" applyAlignment="1">
      <alignment horizontal="left" vertical="center"/>
    </xf>
    <xf numFmtId="14" fontId="4" fillId="0" borderId="0" xfId="0" applyNumberFormat="1" applyFont="1" applyFill="1" applyBorder="1" applyAlignment="1">
      <alignment horizontal="center"/>
    </xf>
    <xf numFmtId="0" fontId="4" fillId="0" borderId="38" xfId="0" applyFont="1" applyFill="1" applyBorder="1" applyAlignment="1">
      <alignment horizontal="left"/>
    </xf>
    <xf numFmtId="0" fontId="4" fillId="0" borderId="39" xfId="0" applyFont="1" applyFill="1" applyBorder="1" applyAlignment="1">
      <alignment horizontal="center"/>
    </xf>
    <xf numFmtId="14" fontId="4" fillId="0" borderId="39" xfId="0" applyNumberFormat="1" applyFont="1" applyFill="1" applyBorder="1" applyAlignment="1">
      <alignment horizontal="center"/>
    </xf>
    <xf numFmtId="3" fontId="4" fillId="0" borderId="40" xfId="0" applyNumberFormat="1" applyFont="1" applyFill="1" applyBorder="1" applyAlignment="1">
      <alignment horizontal="center" vertical="top" wrapText="1"/>
    </xf>
    <xf numFmtId="0" fontId="4" fillId="0" borderId="13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4" fillId="0" borderId="38" xfId="0" applyFont="1" applyFill="1" applyBorder="1" applyAlignment="1">
      <alignment horizontal="center" vertical="top" wrapText="1"/>
    </xf>
    <xf numFmtId="3" fontId="4" fillId="0" borderId="39" xfId="0" applyNumberFormat="1" applyFont="1" applyFill="1" applyBorder="1" applyAlignment="1">
      <alignment horizontal="center" vertical="top" wrapText="1"/>
    </xf>
    <xf numFmtId="3" fontId="4" fillId="0" borderId="41" xfId="0" applyNumberFormat="1" applyFont="1" applyFill="1" applyBorder="1" applyAlignment="1">
      <alignment horizontal="center" vertical="top" wrapText="1"/>
    </xf>
    <xf numFmtId="0" fontId="4" fillId="0" borderId="39" xfId="0" applyFont="1" applyFill="1" applyBorder="1" applyAlignment="1">
      <alignment horizontal="center" vertical="top" wrapText="1"/>
    </xf>
    <xf numFmtId="3" fontId="4" fillId="17" borderId="1" xfId="0" applyNumberFormat="1" applyFont="1" applyFill="1" applyBorder="1" applyAlignment="1">
      <alignment horizontal="center"/>
    </xf>
    <xf numFmtId="14" fontId="4" fillId="17" borderId="1" xfId="0" applyNumberFormat="1" applyFont="1" applyFill="1" applyBorder="1" applyAlignment="1">
      <alignment horizontal="center" vertical="center"/>
    </xf>
    <xf numFmtId="3" fontId="4" fillId="17" borderId="1" xfId="0" applyNumberFormat="1" applyFont="1" applyFill="1" applyBorder="1" applyAlignment="1">
      <alignment horizontal="center" vertical="center"/>
    </xf>
    <xf numFmtId="0" fontId="4" fillId="0" borderId="1" xfId="0" applyFont="1" applyBorder="1"/>
    <xf numFmtId="9" fontId="4" fillId="9" borderId="38" xfId="0" applyNumberFormat="1" applyFont="1" applyFill="1" applyBorder="1" applyAlignment="1">
      <alignment horizontal="center"/>
    </xf>
    <xf numFmtId="3" fontId="4" fillId="0" borderId="40" xfId="0" applyNumberFormat="1" applyFont="1" applyFill="1" applyBorder="1" applyAlignment="1">
      <alignment horizontal="center"/>
    </xf>
    <xf numFmtId="3" fontId="4" fillId="0" borderId="39" xfId="0" applyNumberFormat="1" applyFont="1" applyFill="1" applyBorder="1" applyAlignment="1">
      <alignment horizontal="center"/>
    </xf>
    <xf numFmtId="9" fontId="4" fillId="9" borderId="39" xfId="0" applyNumberFormat="1" applyFont="1" applyFill="1" applyBorder="1" applyAlignment="1">
      <alignment horizontal="center"/>
    </xf>
    <xf numFmtId="3" fontId="4" fillId="0" borderId="1" xfId="0" applyNumberFormat="1" applyFont="1" applyBorder="1"/>
    <xf numFmtId="0" fontId="14" fillId="19" borderId="6" xfId="0" applyFont="1" applyFill="1" applyBorder="1"/>
    <xf numFmtId="3" fontId="14" fillId="19" borderId="42" xfId="0" applyNumberFormat="1" applyFont="1" applyFill="1" applyBorder="1" applyAlignment="1">
      <alignment horizontal="center" vertical="center" wrapText="1"/>
    </xf>
    <xf numFmtId="14" fontId="13" fillId="19" borderId="42" xfId="0" applyNumberFormat="1" applyFont="1" applyFill="1" applyBorder="1" applyAlignment="1">
      <alignment horizontal="center" vertical="center"/>
    </xf>
    <xf numFmtId="3" fontId="14" fillId="19" borderId="42" xfId="0" applyNumberFormat="1" applyFont="1" applyFill="1" applyBorder="1" applyAlignment="1">
      <alignment horizontal="center" vertical="center"/>
    </xf>
    <xf numFmtId="0" fontId="13" fillId="19" borderId="42" xfId="0" applyFont="1" applyFill="1" applyBorder="1"/>
    <xf numFmtId="9" fontId="4" fillId="19" borderId="38" xfId="0" applyNumberFormat="1" applyFont="1" applyFill="1" applyBorder="1" applyAlignment="1">
      <alignment horizontal="center"/>
    </xf>
    <xf numFmtId="3" fontId="4" fillId="19" borderId="40" xfId="0" applyNumberFormat="1" applyFont="1" applyFill="1" applyBorder="1" applyAlignment="1">
      <alignment horizontal="center"/>
    </xf>
    <xf numFmtId="3" fontId="4" fillId="19" borderId="39" xfId="0" applyNumberFormat="1" applyFont="1" applyFill="1" applyBorder="1" applyAlignment="1">
      <alignment horizontal="center"/>
    </xf>
    <xf numFmtId="9" fontId="4" fillId="19" borderId="39" xfId="0" applyNumberFormat="1" applyFont="1" applyFill="1" applyBorder="1" applyAlignment="1">
      <alignment horizontal="center"/>
    </xf>
    <xf numFmtId="3" fontId="4" fillId="19" borderId="43" xfId="0" applyNumberFormat="1" applyFont="1" applyFill="1" applyBorder="1" applyAlignment="1">
      <alignment horizontal="center"/>
    </xf>
    <xf numFmtId="3" fontId="4" fillId="19" borderId="0" xfId="0" applyNumberFormat="1" applyFont="1" applyFill="1" applyBorder="1" applyAlignment="1">
      <alignment horizontal="center"/>
    </xf>
    <xf numFmtId="0" fontId="10" fillId="0" borderId="3" xfId="0" applyFont="1" applyFill="1" applyBorder="1"/>
    <xf numFmtId="3" fontId="10" fillId="17" borderId="22" xfId="0" applyNumberFormat="1" applyFont="1" applyFill="1" applyBorder="1" applyAlignment="1">
      <alignment horizontal="center" vertical="center" wrapText="1"/>
    </xf>
    <xf numFmtId="14" fontId="10" fillId="17" borderId="22" xfId="0" applyNumberFormat="1" applyFont="1" applyFill="1" applyBorder="1" applyAlignment="1">
      <alignment horizontal="center" vertical="center"/>
    </xf>
    <xf numFmtId="3" fontId="10" fillId="17" borderId="22" xfId="0" applyNumberFormat="1" applyFont="1" applyFill="1" applyBorder="1" applyAlignment="1">
      <alignment horizontal="center" vertical="center"/>
    </xf>
    <xf numFmtId="3" fontId="10" fillId="0" borderId="28" xfId="0" applyNumberFormat="1" applyFont="1" applyFill="1" applyBorder="1" applyAlignment="1">
      <alignment horizontal="center" vertical="center"/>
    </xf>
    <xf numFmtId="3" fontId="4" fillId="19" borderId="44" xfId="0" applyNumberFormat="1" applyFont="1" applyFill="1" applyBorder="1"/>
    <xf numFmtId="3" fontId="4" fillId="19" borderId="45" xfId="0" applyNumberFormat="1" applyFont="1" applyFill="1" applyBorder="1"/>
    <xf numFmtId="0" fontId="10" fillId="0" borderId="6" xfId="0" applyFont="1" applyFill="1" applyBorder="1"/>
    <xf numFmtId="3" fontId="10" fillId="17" borderId="1" xfId="0" applyNumberFormat="1" applyFont="1" applyFill="1" applyBorder="1" applyAlignment="1">
      <alignment horizontal="center" vertical="center" wrapText="1"/>
    </xf>
    <xf numFmtId="14" fontId="10" fillId="17" borderId="1" xfId="0" applyNumberFormat="1" applyFont="1" applyFill="1" applyBorder="1" applyAlignment="1">
      <alignment horizontal="center" vertical="center"/>
    </xf>
    <xf numFmtId="3" fontId="10" fillId="0" borderId="14" xfId="0" applyNumberFormat="1" applyFont="1" applyFill="1" applyBorder="1" applyAlignment="1">
      <alignment horizontal="center" vertical="center"/>
    </xf>
    <xf numFmtId="0" fontId="10" fillId="0" borderId="8" xfId="0" applyFont="1" applyFill="1" applyBorder="1"/>
    <xf numFmtId="3" fontId="10" fillId="17" borderId="23" xfId="0" applyNumberFormat="1" applyFont="1" applyFill="1" applyBorder="1" applyAlignment="1">
      <alignment horizontal="center" vertical="center" wrapText="1"/>
    </xf>
    <xf numFmtId="14" fontId="10" fillId="17" borderId="23" xfId="0" applyNumberFormat="1" applyFont="1" applyFill="1" applyBorder="1" applyAlignment="1">
      <alignment horizontal="center" vertical="center"/>
    </xf>
    <xf numFmtId="3" fontId="4" fillId="17" borderId="23" xfId="0" applyNumberFormat="1" applyFont="1" applyFill="1" applyBorder="1" applyAlignment="1">
      <alignment horizontal="center" vertical="center"/>
    </xf>
    <xf numFmtId="3" fontId="10" fillId="0" borderId="16" xfId="0" applyNumberFormat="1" applyFont="1" applyFill="1" applyBorder="1" applyAlignment="1">
      <alignment horizontal="center" vertical="center"/>
    </xf>
    <xf numFmtId="3" fontId="4" fillId="0" borderId="7" xfId="0" applyNumberFormat="1" applyFont="1" applyFill="1" applyBorder="1"/>
    <xf numFmtId="1" fontId="19" fillId="0" borderId="0" xfId="0" applyNumberFormat="1" applyFont="1" applyFill="1" applyBorder="1" applyAlignment="1">
      <alignment horizontal="center" vertical="center" wrapText="1"/>
    </xf>
    <xf numFmtId="0" fontId="4" fillId="0" borderId="8" xfId="0" applyFont="1" applyFill="1" applyBorder="1"/>
    <xf numFmtId="0" fontId="4" fillId="0" borderId="9" xfId="0" applyFont="1" applyFill="1" applyBorder="1"/>
    <xf numFmtId="3" fontId="4" fillId="0" borderId="9" xfId="0" applyNumberFormat="1" applyFont="1" applyFill="1" applyBorder="1"/>
    <xf numFmtId="3" fontId="4" fillId="0" borderId="10" xfId="0" applyNumberFormat="1" applyFont="1" applyFill="1" applyBorder="1"/>
    <xf numFmtId="0" fontId="0" fillId="0" borderId="0" xfId="0" applyNumberFormat="1" applyAlignment="1">
      <alignment vertical="top"/>
    </xf>
    <xf numFmtId="0" fontId="15" fillId="0" borderId="0" xfId="0" applyFont="1"/>
    <xf numFmtId="0" fontId="15" fillId="0" borderId="0" xfId="0" applyFont="1" applyFill="1" applyAlignment="1">
      <alignment wrapText="1"/>
    </xf>
    <xf numFmtId="0" fontId="15" fillId="0" borderId="0" xfId="0" applyFont="1" applyAlignment="1">
      <alignment wrapText="1"/>
    </xf>
    <xf numFmtId="4" fontId="15" fillId="0" borderId="0" xfId="0" applyNumberFormat="1" applyFont="1"/>
    <xf numFmtId="3" fontId="15" fillId="7" borderId="28" xfId="0" applyNumberFormat="1" applyFont="1" applyFill="1" applyBorder="1" applyAlignment="1">
      <alignment horizontal="center" vertical="center"/>
    </xf>
    <xf numFmtId="14" fontId="15" fillId="0" borderId="0" xfId="0" applyNumberFormat="1" applyFont="1" applyAlignment="1">
      <alignment wrapText="1"/>
    </xf>
    <xf numFmtId="164" fontId="15" fillId="0" borderId="0" xfId="4" applyFont="1" applyBorder="1"/>
    <xf numFmtId="3" fontId="15" fillId="0" borderId="0" xfId="0" applyNumberFormat="1" applyFont="1" applyAlignment="1">
      <alignment wrapText="1"/>
    </xf>
    <xf numFmtId="4" fontId="15" fillId="0" borderId="0" xfId="0" applyNumberFormat="1" applyFont="1" applyFill="1" applyAlignment="1">
      <alignment wrapText="1"/>
    </xf>
    <xf numFmtId="4" fontId="15" fillId="0" borderId="0" xfId="0" applyNumberFormat="1" applyFont="1" applyFill="1"/>
    <xf numFmtId="4" fontId="15" fillId="0" borderId="0" xfId="0" applyNumberFormat="1" applyFont="1" applyFill="1" applyAlignment="1">
      <alignment horizontal="center"/>
    </xf>
    <xf numFmtId="3" fontId="15" fillId="0" borderId="14" xfId="0" applyNumberFormat="1" applyFont="1" applyBorder="1" applyAlignment="1">
      <alignment horizontal="center" vertical="center" wrapText="1"/>
    </xf>
    <xf numFmtId="4" fontId="15" fillId="0" borderId="0" xfId="0" applyNumberFormat="1" applyFont="1" applyFill="1" applyAlignment="1">
      <alignment horizontal="center" wrapText="1"/>
    </xf>
    <xf numFmtId="3" fontId="15" fillId="0" borderId="14" xfId="0" applyNumberFormat="1" applyFont="1" applyBorder="1" applyAlignment="1">
      <alignment horizontal="center" vertical="center"/>
    </xf>
    <xf numFmtId="4" fontId="15" fillId="0" borderId="0" xfId="0" applyNumberFormat="1" applyFont="1" applyBorder="1"/>
    <xf numFmtId="4" fontId="15" fillId="0" borderId="0" xfId="0" applyNumberFormat="1" applyFont="1" applyBorder="1" applyAlignment="1">
      <alignment wrapText="1"/>
    </xf>
    <xf numFmtId="4" fontId="15" fillId="0" borderId="14" xfId="0" applyNumberFormat="1" applyFont="1" applyBorder="1" applyAlignment="1">
      <alignment horizontal="center" vertical="center"/>
    </xf>
    <xf numFmtId="4" fontId="20" fillId="0" borderId="0" xfId="0" applyNumberFormat="1" applyFont="1" applyAlignment="1">
      <alignment wrapText="1"/>
    </xf>
    <xf numFmtId="4" fontId="15" fillId="13" borderId="0" xfId="0" applyNumberFormat="1" applyFont="1" applyFill="1"/>
    <xf numFmtId="3" fontId="21" fillId="2" borderId="17" xfId="0" applyNumberFormat="1" applyFont="1" applyFill="1" applyBorder="1" applyAlignment="1">
      <alignment horizontal="center" vertical="center" wrapText="1"/>
    </xf>
    <xf numFmtId="3" fontId="21" fillId="2" borderId="24" xfId="0" applyNumberFormat="1" applyFont="1" applyFill="1" applyBorder="1" applyAlignment="1">
      <alignment horizontal="center" vertical="center" wrapText="1"/>
    </xf>
    <xf numFmtId="4" fontId="21" fillId="2" borderId="24" xfId="0" applyNumberFormat="1" applyFont="1" applyFill="1" applyBorder="1" applyAlignment="1">
      <alignment horizontal="center" vertical="center" wrapText="1"/>
    </xf>
    <xf numFmtId="4" fontId="21" fillId="2" borderId="18" xfId="0" applyNumberFormat="1" applyFont="1" applyFill="1" applyBorder="1" applyAlignment="1">
      <alignment horizontal="center" vertical="center" wrapText="1"/>
    </xf>
    <xf numFmtId="4" fontId="24" fillId="13" borderId="0" xfId="0" applyNumberFormat="1" applyFont="1" applyFill="1" applyAlignment="1">
      <alignment vertical="center"/>
    </xf>
    <xf numFmtId="0" fontId="15" fillId="0" borderId="0" xfId="0" applyFont="1" applyAlignment="1">
      <alignment vertical="center"/>
    </xf>
    <xf numFmtId="3" fontId="15" fillId="0" borderId="19" xfId="0" applyNumberFormat="1" applyFont="1" applyFill="1" applyBorder="1" applyAlignment="1">
      <alignment horizontal="center" vertical="center"/>
    </xf>
    <xf numFmtId="3" fontId="15" fillId="0" borderId="2" xfId="0" applyNumberFormat="1" applyFont="1" applyFill="1" applyBorder="1" applyAlignment="1">
      <alignment horizontal="center" vertical="center"/>
    </xf>
    <xf numFmtId="4" fontId="15" fillId="0" borderId="2" xfId="0" applyNumberFormat="1" applyFont="1" applyFill="1" applyBorder="1" applyAlignment="1">
      <alignment horizontal="left" vertical="center" wrapText="1"/>
    </xf>
    <xf numFmtId="14" fontId="15" fillId="0" borderId="2" xfId="0" applyNumberFormat="1" applyFont="1" applyFill="1" applyBorder="1" applyAlignment="1">
      <alignment horizontal="center" vertical="center"/>
    </xf>
    <xf numFmtId="14" fontId="15" fillId="0" borderId="19" xfId="0" applyNumberFormat="1" applyFont="1" applyFill="1" applyBorder="1" applyAlignment="1">
      <alignment horizontal="center" vertical="center"/>
    </xf>
    <xf numFmtId="3" fontId="15" fillId="0" borderId="1" xfId="0" applyNumberFormat="1" applyFont="1" applyFill="1" applyBorder="1" applyAlignment="1">
      <alignment horizontal="center" vertical="center" wrapText="1"/>
    </xf>
    <xf numFmtId="9" fontId="15" fillId="0" borderId="14" xfId="1" applyFont="1" applyFill="1" applyBorder="1" applyAlignment="1">
      <alignment horizontal="center" vertical="center" wrapText="1"/>
    </xf>
    <xf numFmtId="14" fontId="15" fillId="0" borderId="21" xfId="0" applyNumberFormat="1" applyFont="1" applyFill="1" applyBorder="1" applyAlignment="1">
      <alignment horizontal="center" vertical="center" wrapText="1"/>
    </xf>
    <xf numFmtId="165" fontId="23" fillId="0" borderId="2" xfId="0" applyNumberFormat="1" applyFont="1" applyFill="1" applyBorder="1" applyAlignment="1">
      <alignment horizontal="center" vertical="center" wrapText="1"/>
    </xf>
    <xf numFmtId="0" fontId="15" fillId="0" borderId="0" xfId="0" applyFont="1" applyFill="1" applyAlignment="1">
      <alignment vertical="center"/>
    </xf>
    <xf numFmtId="14" fontId="15" fillId="3" borderId="1" xfId="0" applyNumberFormat="1" applyFont="1" applyFill="1" applyBorder="1" applyAlignment="1">
      <alignment horizontal="center" vertical="center"/>
    </xf>
    <xf numFmtId="14" fontId="15" fillId="3" borderId="21" xfId="0" applyNumberFormat="1" applyFont="1" applyFill="1" applyBorder="1" applyAlignment="1">
      <alignment horizontal="center" vertical="center"/>
    </xf>
    <xf numFmtId="14" fontId="15" fillId="3" borderId="2" xfId="0" applyNumberFormat="1" applyFont="1" applyFill="1" applyBorder="1" applyAlignment="1">
      <alignment horizontal="right" vertical="center"/>
    </xf>
    <xf numFmtId="3" fontId="15" fillId="3" borderId="13" xfId="0" applyNumberFormat="1" applyFont="1" applyFill="1" applyBorder="1" applyAlignment="1">
      <alignment horizontal="center" vertical="center"/>
    </xf>
    <xf numFmtId="3" fontId="15" fillId="3" borderId="1" xfId="0" applyNumberFormat="1" applyFont="1" applyFill="1" applyBorder="1" applyAlignment="1">
      <alignment vertical="center"/>
    </xf>
    <xf numFmtId="4" fontId="15" fillId="3" borderId="1" xfId="0" applyNumberFormat="1" applyFont="1" applyFill="1" applyBorder="1" applyAlignment="1">
      <alignment vertical="center" wrapText="1"/>
    </xf>
    <xf numFmtId="4" fontId="15" fillId="3" borderId="1" xfId="0" applyNumberFormat="1" applyFont="1" applyFill="1" applyBorder="1" applyAlignment="1">
      <alignment vertical="center"/>
    </xf>
    <xf numFmtId="14" fontId="15" fillId="3" borderId="1" xfId="0" applyNumberFormat="1" applyFont="1" applyFill="1" applyBorder="1" applyAlignment="1">
      <alignment vertical="center" wrapText="1"/>
    </xf>
    <xf numFmtId="3" fontId="15" fillId="3" borderId="1" xfId="0" applyNumberFormat="1" applyFont="1" applyFill="1" applyBorder="1" applyAlignment="1">
      <alignment horizontal="center" vertical="center"/>
    </xf>
    <xf numFmtId="14" fontId="15" fillId="3" borderId="13" xfId="0" applyNumberFormat="1" applyFont="1" applyFill="1" applyBorder="1" applyAlignment="1">
      <alignment horizontal="center" vertical="center"/>
    </xf>
    <xf numFmtId="3" fontId="15" fillId="3" borderId="1" xfId="0" applyNumberFormat="1" applyFont="1" applyFill="1" applyBorder="1" applyAlignment="1">
      <alignment horizontal="center" vertical="center" wrapText="1"/>
    </xf>
    <xf numFmtId="3" fontId="15" fillId="3" borderId="14" xfId="0" applyNumberFormat="1" applyFont="1" applyFill="1" applyBorder="1" applyAlignment="1">
      <alignment horizontal="center" vertical="center" wrapText="1"/>
    </xf>
    <xf numFmtId="3" fontId="15" fillId="3" borderId="15" xfId="0" applyNumberFormat="1" applyFont="1" applyFill="1" applyBorder="1" applyAlignment="1">
      <alignment horizontal="center" vertical="center"/>
    </xf>
    <xf numFmtId="3" fontId="15" fillId="3" borderId="23" xfId="0" applyNumberFormat="1" applyFont="1" applyFill="1" applyBorder="1" applyAlignment="1">
      <alignment horizontal="center" vertical="center"/>
    </xf>
    <xf numFmtId="4" fontId="15" fillId="3" borderId="23" xfId="0" applyNumberFormat="1" applyFont="1" applyFill="1" applyBorder="1" applyAlignment="1">
      <alignment vertical="center" wrapText="1"/>
    </xf>
    <xf numFmtId="4" fontId="15" fillId="3" borderId="23" xfId="0" applyNumberFormat="1" applyFont="1" applyFill="1" applyBorder="1" applyAlignment="1">
      <alignment vertical="center"/>
    </xf>
    <xf numFmtId="14" fontId="15" fillId="3" borderId="23" xfId="0" applyNumberFormat="1" applyFont="1" applyFill="1" applyBorder="1" applyAlignment="1">
      <alignment vertical="center" wrapText="1"/>
    </xf>
    <xf numFmtId="14" fontId="15" fillId="3" borderId="23" xfId="0" applyNumberFormat="1" applyFont="1" applyFill="1" applyBorder="1" applyAlignment="1">
      <alignment horizontal="center" vertical="center"/>
    </xf>
    <xf numFmtId="14" fontId="15" fillId="3" borderId="15" xfId="0" applyNumberFormat="1" applyFont="1" applyFill="1" applyBorder="1" applyAlignment="1">
      <alignment horizontal="center" vertical="center"/>
    </xf>
    <xf numFmtId="14" fontId="15" fillId="3" borderId="49" xfId="0" applyNumberFormat="1" applyFont="1" applyFill="1" applyBorder="1" applyAlignment="1">
      <alignment horizontal="center" vertical="center"/>
    </xf>
    <xf numFmtId="14" fontId="15" fillId="3" borderId="46" xfId="0" applyNumberFormat="1" applyFont="1" applyFill="1" applyBorder="1" applyAlignment="1">
      <alignment horizontal="right" vertical="center"/>
    </xf>
    <xf numFmtId="3" fontId="15" fillId="3" borderId="23" xfId="0" applyNumberFormat="1" applyFont="1" applyFill="1" applyBorder="1" applyAlignment="1">
      <alignment horizontal="center" vertical="center" wrapText="1"/>
    </xf>
    <xf numFmtId="3" fontId="15" fillId="3" borderId="16" xfId="0" applyNumberFormat="1" applyFont="1" applyFill="1" applyBorder="1" applyAlignment="1">
      <alignment horizontal="center" vertical="center" wrapText="1"/>
    </xf>
    <xf numFmtId="4" fontId="15" fillId="0" borderId="0" xfId="0" applyNumberFormat="1" applyFont="1" applyAlignment="1">
      <alignment horizontal="center"/>
    </xf>
    <xf numFmtId="166" fontId="15" fillId="0" borderId="0" xfId="0" applyNumberFormat="1" applyFont="1"/>
    <xf numFmtId="3" fontId="15" fillId="0" borderId="0" xfId="0" applyNumberFormat="1" applyFont="1"/>
    <xf numFmtId="166" fontId="15" fillId="0" borderId="0" xfId="0" applyNumberFormat="1" applyFont="1" applyFill="1"/>
    <xf numFmtId="164" fontId="15" fillId="0" borderId="0" xfId="4" applyFont="1"/>
    <xf numFmtId="4" fontId="25" fillId="0" borderId="0" xfId="0" applyNumberFormat="1" applyFont="1"/>
    <xf numFmtId="3" fontId="15" fillId="0" borderId="0" xfId="0" applyNumberFormat="1" applyFont="1" applyFill="1"/>
    <xf numFmtId="0" fontId="15" fillId="0" borderId="0" xfId="0" applyFont="1" applyFill="1"/>
    <xf numFmtId="3" fontId="15" fillId="4" borderId="14" xfId="0" applyNumberFormat="1" applyFont="1" applyFill="1" applyBorder="1" applyAlignment="1">
      <alignment horizontal="center" vertical="center" wrapText="1"/>
    </xf>
    <xf numFmtId="14" fontId="15" fillId="4" borderId="14" xfId="0" applyNumberFormat="1" applyFont="1" applyFill="1" applyBorder="1" applyAlignment="1">
      <alignment horizontal="center" vertical="center" wrapText="1"/>
    </xf>
    <xf numFmtId="3" fontId="15" fillId="4" borderId="32" xfId="0" applyNumberFormat="1" applyFont="1" applyFill="1" applyBorder="1" applyAlignment="1">
      <alignment horizontal="center" vertical="center"/>
    </xf>
    <xf numFmtId="4" fontId="26" fillId="13" borderId="0" xfId="0" applyNumberFormat="1" applyFont="1" applyFill="1" applyAlignment="1">
      <alignment vertical="center"/>
    </xf>
    <xf numFmtId="4" fontId="15" fillId="0" borderId="0" xfId="0" applyNumberFormat="1" applyFont="1" applyAlignment="1">
      <alignment vertical="top" wrapText="1"/>
    </xf>
    <xf numFmtId="165" fontId="15" fillId="20" borderId="24" xfId="1" applyNumberFormat="1" applyFont="1" applyFill="1" applyBorder="1" applyAlignment="1">
      <alignment horizontal="left" vertical="center" wrapText="1"/>
    </xf>
    <xf numFmtId="3" fontId="15" fillId="20" borderId="50" xfId="0" applyNumberFormat="1" applyFont="1" applyFill="1" applyBorder="1" applyAlignment="1">
      <alignment horizontal="center" vertical="center" wrapText="1"/>
    </xf>
    <xf numFmtId="14" fontId="15" fillId="20" borderId="17" xfId="0" applyNumberFormat="1" applyFont="1" applyFill="1" applyBorder="1" applyAlignment="1">
      <alignment horizontal="center" vertical="center"/>
    </xf>
    <xf numFmtId="14" fontId="15" fillId="20" borderId="25" xfId="0" applyNumberFormat="1" applyFont="1" applyFill="1" applyBorder="1" applyAlignment="1">
      <alignment horizontal="center" vertical="center"/>
    </xf>
    <xf numFmtId="3" fontId="15" fillId="20" borderId="17" xfId="0" applyNumberFormat="1" applyFont="1" applyFill="1" applyBorder="1" applyAlignment="1">
      <alignment horizontal="center" vertical="center"/>
    </xf>
    <xf numFmtId="3" fontId="15" fillId="20" borderId="24" xfId="0" applyNumberFormat="1" applyFont="1" applyFill="1" applyBorder="1" applyAlignment="1">
      <alignment horizontal="center" vertical="center"/>
    </xf>
    <xf numFmtId="4" fontId="15" fillId="20" borderId="24" xfId="0" applyNumberFormat="1" applyFont="1" applyFill="1" applyBorder="1" applyAlignment="1">
      <alignment vertical="center" wrapText="1"/>
    </xf>
    <xf numFmtId="4" fontId="15" fillId="20" borderId="24" xfId="0" applyNumberFormat="1" applyFont="1" applyFill="1" applyBorder="1" applyAlignment="1">
      <alignment vertical="center"/>
    </xf>
    <xf numFmtId="14" fontId="15" fillId="20" borderId="24" xfId="0" applyNumberFormat="1" applyFont="1" applyFill="1" applyBorder="1" applyAlignment="1">
      <alignment horizontal="center" vertical="center"/>
    </xf>
    <xf numFmtId="3" fontId="15" fillId="20" borderId="18" xfId="0" applyNumberFormat="1" applyFont="1" applyFill="1" applyBorder="1" applyAlignment="1">
      <alignment horizontal="center" vertical="center" wrapText="1"/>
    </xf>
    <xf numFmtId="3" fontId="21" fillId="8" borderId="17" xfId="0" applyNumberFormat="1" applyFont="1" applyFill="1" applyBorder="1" applyAlignment="1">
      <alignment horizontal="center" vertical="center" wrapText="1"/>
    </xf>
    <xf numFmtId="3" fontId="21" fillId="2" borderId="31" xfId="0" applyNumberFormat="1" applyFont="1" applyFill="1" applyBorder="1" applyAlignment="1">
      <alignment horizontal="center" vertical="center" wrapText="1"/>
    </xf>
    <xf numFmtId="3" fontId="22" fillId="2" borderId="50" xfId="0" applyNumberFormat="1" applyFont="1" applyFill="1" applyBorder="1" applyAlignment="1">
      <alignment horizontal="center" vertical="center" wrapText="1"/>
    </xf>
    <xf numFmtId="14" fontId="15" fillId="0" borderId="20" xfId="0" applyNumberFormat="1" applyFont="1" applyFill="1" applyBorder="1" applyAlignment="1">
      <alignment horizontal="center" vertical="center"/>
    </xf>
    <xf numFmtId="14" fontId="15" fillId="20" borderId="18" xfId="0" applyNumberFormat="1" applyFont="1" applyFill="1" applyBorder="1" applyAlignment="1">
      <alignment horizontal="center" vertical="center"/>
    </xf>
    <xf numFmtId="4" fontId="23" fillId="5" borderId="16" xfId="0" applyNumberFormat="1" applyFont="1" applyFill="1" applyBorder="1" applyAlignment="1">
      <alignment horizontal="center" vertical="center"/>
    </xf>
    <xf numFmtId="14" fontId="15" fillId="0" borderId="14" xfId="0" applyNumberFormat="1" applyFont="1" applyBorder="1" applyAlignment="1">
      <alignment horizontal="center" vertical="center"/>
    </xf>
    <xf numFmtId="167" fontId="0" fillId="0" borderId="1" xfId="0" applyNumberFormat="1" applyBorder="1"/>
    <xf numFmtId="2" fontId="0" fillId="0" borderId="1" xfId="0" applyNumberFormat="1" applyBorder="1"/>
    <xf numFmtId="3" fontId="0" fillId="0" borderId="1" xfId="0" applyNumberFormat="1" applyBorder="1"/>
    <xf numFmtId="3" fontId="15" fillId="4" borderId="28" xfId="0" applyNumberFormat="1" applyFont="1" applyFill="1" applyBorder="1" applyAlignment="1">
      <alignment horizontal="center" vertical="center" wrapText="1"/>
    </xf>
    <xf numFmtId="0" fontId="5" fillId="21" borderId="27" xfId="0" applyFont="1" applyFill="1" applyBorder="1" applyAlignment="1">
      <alignment horizontal="center" vertical="center" wrapText="1"/>
    </xf>
    <xf numFmtId="0" fontId="5" fillId="21" borderId="15" xfId="0" applyFont="1" applyFill="1" applyBorder="1" applyAlignment="1">
      <alignment horizontal="center" vertical="center" wrapText="1"/>
    </xf>
    <xf numFmtId="14" fontId="15" fillId="4" borderId="16" xfId="0" applyNumberFormat="1" applyFont="1" applyFill="1" applyBorder="1" applyAlignment="1">
      <alignment horizontal="center" vertical="center" wrapText="1"/>
    </xf>
    <xf numFmtId="0" fontId="30" fillId="0" borderId="0" xfId="0" applyFont="1" applyAlignment="1">
      <alignment wrapText="1"/>
    </xf>
    <xf numFmtId="14" fontId="4" fillId="17" borderId="13" xfId="0" applyNumberFormat="1" applyFont="1" applyFill="1" applyBorder="1" applyAlignment="1">
      <alignment horizontal="left" vertical="center"/>
    </xf>
    <xf numFmtId="3" fontId="15" fillId="3" borderId="27" xfId="0" applyNumberFormat="1" applyFont="1" applyFill="1" applyBorder="1" applyAlignment="1">
      <alignment horizontal="center" vertical="center"/>
    </xf>
    <xf numFmtId="3" fontId="15" fillId="3" borderId="22" xfId="0" applyNumberFormat="1" applyFont="1" applyFill="1" applyBorder="1" applyAlignment="1">
      <alignment horizontal="center" vertical="center"/>
    </xf>
    <xf numFmtId="4" fontId="15" fillId="3" borderId="22" xfId="0" applyNumberFormat="1" applyFont="1" applyFill="1" applyBorder="1" applyAlignment="1">
      <alignment vertical="center"/>
    </xf>
    <xf numFmtId="14" fontId="15" fillId="3" borderId="22" xfId="0" applyNumberFormat="1" applyFont="1" applyFill="1" applyBorder="1" applyAlignment="1">
      <alignment horizontal="center" vertical="center"/>
    </xf>
    <xf numFmtId="14" fontId="15" fillId="3" borderId="27" xfId="0" applyNumberFormat="1" applyFont="1" applyFill="1" applyBorder="1" applyAlignment="1">
      <alignment horizontal="center" vertical="center"/>
    </xf>
    <xf numFmtId="14" fontId="15" fillId="3" borderId="29" xfId="0" applyNumberFormat="1" applyFont="1" applyFill="1" applyBorder="1" applyAlignment="1">
      <alignment horizontal="center" vertical="center"/>
    </xf>
    <xf numFmtId="14" fontId="15" fillId="3" borderId="22" xfId="0" applyNumberFormat="1" applyFont="1" applyFill="1" applyBorder="1" applyAlignment="1">
      <alignment horizontal="right" vertical="center"/>
    </xf>
    <xf numFmtId="3" fontId="15" fillId="3" borderId="22" xfId="0" applyNumberFormat="1" applyFont="1" applyFill="1" applyBorder="1" applyAlignment="1">
      <alignment horizontal="center" vertical="center" wrapText="1"/>
    </xf>
    <xf numFmtId="3" fontId="15" fillId="3" borderId="28" xfId="0" applyNumberFormat="1" applyFont="1" applyFill="1" applyBorder="1" applyAlignment="1">
      <alignment horizontal="center" vertical="center" wrapText="1"/>
    </xf>
    <xf numFmtId="14" fontId="15" fillId="3" borderId="28" xfId="0" applyNumberFormat="1" applyFont="1" applyFill="1" applyBorder="1" applyAlignment="1">
      <alignment horizontal="center" vertical="center"/>
    </xf>
    <xf numFmtId="14" fontId="15" fillId="3" borderId="14" xfId="0" applyNumberFormat="1" applyFont="1" applyFill="1" applyBorder="1" applyAlignment="1">
      <alignment horizontal="center" vertical="center"/>
    </xf>
    <xf numFmtId="14" fontId="15" fillId="3" borderId="16" xfId="0" applyNumberFormat="1" applyFont="1" applyFill="1" applyBorder="1" applyAlignment="1">
      <alignment horizontal="center" vertical="center"/>
    </xf>
    <xf numFmtId="4" fontId="31" fillId="13" borderId="0" xfId="0" applyNumberFormat="1" applyFont="1" applyFill="1" applyAlignment="1">
      <alignment vertical="center" wrapText="1"/>
    </xf>
    <xf numFmtId="0" fontId="29" fillId="0" borderId="0" xfId="0" applyFont="1" applyAlignment="1"/>
    <xf numFmtId="0" fontId="3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3" fontId="27" fillId="2" borderId="51" xfId="0" applyNumberFormat="1" applyFont="1" applyFill="1" applyBorder="1" applyAlignment="1">
      <alignment vertical="center" wrapText="1"/>
    </xf>
    <xf numFmtId="0" fontId="15" fillId="0" borderId="6" xfId="0" applyFont="1" applyBorder="1"/>
    <xf numFmtId="3" fontId="27" fillId="2" borderId="14" xfId="0" applyNumberFormat="1" applyFont="1" applyFill="1" applyBorder="1" applyAlignment="1">
      <alignment vertical="center" wrapText="1"/>
    </xf>
    <xf numFmtId="0" fontId="33" fillId="0" borderId="0" xfId="0" applyFont="1" applyAlignment="1"/>
    <xf numFmtId="9" fontId="15" fillId="0" borderId="0" xfId="1" applyFont="1" applyFill="1"/>
    <xf numFmtId="3" fontId="15" fillId="5" borderId="19" xfId="0" applyNumberFormat="1" applyFont="1" applyFill="1" applyBorder="1" applyAlignment="1">
      <alignment horizontal="center" vertical="center"/>
    </xf>
    <xf numFmtId="3" fontId="15" fillId="5" borderId="2" xfId="0" applyNumberFormat="1" applyFont="1" applyFill="1" applyBorder="1" applyAlignment="1">
      <alignment horizontal="center" vertical="center"/>
    </xf>
    <xf numFmtId="4" fontId="15" fillId="5" borderId="2" xfId="0" applyNumberFormat="1" applyFont="1" applyFill="1" applyBorder="1" applyAlignment="1">
      <alignment horizontal="left" vertical="center" wrapText="1"/>
    </xf>
    <xf numFmtId="4" fontId="15" fillId="5" borderId="2" xfId="0" applyNumberFormat="1" applyFont="1" applyFill="1" applyBorder="1" applyAlignment="1">
      <alignment horizontal="center" vertical="center" wrapText="1"/>
    </xf>
    <xf numFmtId="14" fontId="15" fillId="5" borderId="2" xfId="0" applyNumberFormat="1" applyFont="1" applyFill="1" applyBorder="1" applyAlignment="1">
      <alignment horizontal="center" vertical="center"/>
    </xf>
    <xf numFmtId="14" fontId="15" fillId="5" borderId="20" xfId="0" applyNumberFormat="1" applyFont="1" applyFill="1" applyBorder="1" applyAlignment="1">
      <alignment horizontal="center" vertical="center"/>
    </xf>
    <xf numFmtId="14" fontId="15" fillId="5" borderId="19" xfId="0" applyNumberFormat="1" applyFont="1" applyFill="1" applyBorder="1" applyAlignment="1">
      <alignment horizontal="center" vertical="center"/>
    </xf>
    <xf numFmtId="14" fontId="15" fillId="5" borderId="21" xfId="0" applyNumberFormat="1" applyFont="1" applyFill="1" applyBorder="1" applyAlignment="1">
      <alignment horizontal="center" vertical="center" wrapText="1"/>
    </xf>
    <xf numFmtId="165" fontId="23" fillId="5" borderId="2" xfId="0" applyNumberFormat="1" applyFont="1" applyFill="1" applyBorder="1" applyAlignment="1">
      <alignment horizontal="center" vertical="center" wrapText="1"/>
    </xf>
    <xf numFmtId="3" fontId="15" fillId="5" borderId="1" xfId="0" applyNumberFormat="1" applyFont="1" applyFill="1" applyBorder="1" applyAlignment="1">
      <alignment horizontal="center" vertical="center" wrapText="1"/>
    </xf>
    <xf numFmtId="9" fontId="15" fillId="5" borderId="14" xfId="1" applyFont="1" applyFill="1" applyBorder="1" applyAlignment="1">
      <alignment horizontal="center" vertical="center" wrapText="1"/>
    </xf>
    <xf numFmtId="14" fontId="15" fillId="22" borderId="19" xfId="0" applyNumberFormat="1" applyFont="1" applyFill="1" applyBorder="1" applyAlignment="1">
      <alignment horizontal="center" vertical="center"/>
    </xf>
    <xf numFmtId="14" fontId="15" fillId="22" borderId="21" xfId="0" applyNumberFormat="1" applyFont="1" applyFill="1" applyBorder="1" applyAlignment="1">
      <alignment horizontal="center" vertical="center" wrapText="1"/>
    </xf>
    <xf numFmtId="165" fontId="23" fillId="22" borderId="2" xfId="0" applyNumberFormat="1" applyFont="1" applyFill="1" applyBorder="1" applyAlignment="1">
      <alignment horizontal="center" vertical="center" wrapText="1"/>
    </xf>
    <xf numFmtId="3" fontId="15" fillId="22" borderId="1" xfId="0" applyNumberFormat="1" applyFont="1" applyFill="1" applyBorder="1" applyAlignment="1">
      <alignment horizontal="center" vertical="center" wrapText="1"/>
    </xf>
    <xf numFmtId="9" fontId="15" fillId="22" borderId="14" xfId="1" applyFont="1" applyFill="1" applyBorder="1" applyAlignment="1">
      <alignment horizontal="center" vertical="center" wrapText="1"/>
    </xf>
    <xf numFmtId="2" fontId="15" fillId="0" borderId="0" xfId="0" applyNumberFormat="1" applyFont="1" applyAlignment="1">
      <alignment wrapText="1"/>
    </xf>
    <xf numFmtId="3" fontId="27" fillId="2" borderId="27" xfId="0" applyNumberFormat="1" applyFont="1" applyFill="1" applyBorder="1" applyAlignment="1">
      <alignment horizontal="center" vertical="center"/>
    </xf>
    <xf numFmtId="3" fontId="27" fillId="2" borderId="29" xfId="0" applyNumberFormat="1" applyFont="1" applyFill="1" applyBorder="1" applyAlignment="1">
      <alignment horizontal="center" vertical="center"/>
    </xf>
    <xf numFmtId="3" fontId="27" fillId="2" borderId="22" xfId="0" applyNumberFormat="1" applyFont="1" applyFill="1" applyBorder="1" applyAlignment="1">
      <alignment horizontal="center" vertical="center"/>
    </xf>
    <xf numFmtId="3" fontId="27" fillId="2" borderId="13" xfId="0" applyNumberFormat="1" applyFont="1" applyFill="1" applyBorder="1" applyAlignment="1">
      <alignment horizontal="center" vertical="center"/>
    </xf>
    <xf numFmtId="3" fontId="27" fillId="2" borderId="11" xfId="0" applyNumberFormat="1" applyFont="1" applyFill="1" applyBorder="1" applyAlignment="1">
      <alignment horizontal="center" vertical="center"/>
    </xf>
    <xf numFmtId="3" fontId="27" fillId="2" borderId="1" xfId="0" applyNumberFormat="1" applyFont="1" applyFill="1" applyBorder="1" applyAlignment="1">
      <alignment horizontal="center" vertical="center"/>
    </xf>
    <xf numFmtId="3" fontId="27" fillId="2" borderId="13" xfId="0" applyNumberFormat="1" applyFont="1" applyFill="1" applyBorder="1" applyAlignment="1">
      <alignment horizontal="center" vertical="center" wrapText="1"/>
    </xf>
    <xf numFmtId="3" fontId="27" fillId="2" borderId="11" xfId="0" applyNumberFormat="1" applyFont="1" applyFill="1" applyBorder="1" applyAlignment="1">
      <alignment horizontal="center" vertical="center" wrapText="1"/>
    </xf>
    <xf numFmtId="3" fontId="27" fillId="2" borderId="1" xfId="0" applyNumberFormat="1" applyFont="1" applyFill="1" applyBorder="1" applyAlignment="1">
      <alignment horizontal="center" vertical="center" wrapText="1"/>
    </xf>
    <xf numFmtId="3" fontId="27" fillId="2" borderId="47" xfId="0" applyNumberFormat="1" applyFont="1" applyFill="1" applyBorder="1" applyAlignment="1">
      <alignment horizontal="center" vertical="center" wrapText="1"/>
    </xf>
    <xf numFmtId="3" fontId="27" fillId="2" borderId="48" xfId="0" applyNumberFormat="1" applyFont="1" applyFill="1" applyBorder="1" applyAlignment="1">
      <alignment horizontal="center" vertical="center" wrapText="1"/>
    </xf>
    <xf numFmtId="3" fontId="28" fillId="15" borderId="15" xfId="0" applyNumberFormat="1" applyFont="1" applyFill="1" applyBorder="1" applyAlignment="1">
      <alignment horizontal="center" vertical="center" wrapText="1"/>
    </xf>
    <xf numFmtId="3" fontId="28" fillId="15" borderId="26" xfId="0" applyNumberFormat="1" applyFont="1" applyFill="1" applyBorder="1" applyAlignment="1">
      <alignment horizontal="center" vertical="center" wrapText="1"/>
    </xf>
    <xf numFmtId="3" fontId="28" fillId="15" borderId="23" xfId="0" applyNumberFormat="1" applyFont="1" applyFill="1" applyBorder="1" applyAlignment="1">
      <alignment horizontal="center" vertical="center" wrapText="1"/>
    </xf>
    <xf numFmtId="3" fontId="27" fillId="2" borderId="51" xfId="0" applyNumberFormat="1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center" vertical="center"/>
    </xf>
    <xf numFmtId="0" fontId="4" fillId="0" borderId="34" xfId="0" applyFont="1" applyFill="1" applyBorder="1" applyAlignment="1">
      <alignment horizontal="center" vertical="center"/>
    </xf>
    <xf numFmtId="0" fontId="4" fillId="0" borderId="35" xfId="0" applyFont="1" applyFill="1" applyBorder="1" applyAlignment="1">
      <alignment horizontal="center" vertical="center"/>
    </xf>
    <xf numFmtId="0" fontId="4" fillId="0" borderId="36" xfId="0" applyFont="1" applyFill="1" applyBorder="1" applyAlignment="1">
      <alignment horizontal="center" vertical="center"/>
    </xf>
    <xf numFmtId="0" fontId="4" fillId="0" borderId="37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9" fontId="15" fillId="4" borderId="16" xfId="0" applyNumberFormat="1" applyFont="1" applyFill="1" applyBorder="1" applyAlignment="1">
      <alignment horizontal="center" vertical="center" wrapText="1"/>
    </xf>
  </cellXfs>
  <cellStyles count="5">
    <cellStyle name="Денежный" xfId="4" builtinId="4"/>
    <cellStyle name="Обычный" xfId="0" builtinId="0"/>
    <cellStyle name="Обычный 2" xfId="2" xr:uid="{00000000-0005-0000-0000-000002000000}"/>
    <cellStyle name="Процентный" xfId="1" builtinId="5"/>
    <cellStyle name="Финансовый 2" xfId="3" xr:uid="{00000000-0005-0000-0000-000004000000}"/>
  </cellStyles>
  <dxfs count="1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rgb="FF9C0006"/>
      </font>
      <fill>
        <patternFill>
          <fgColor auto="1"/>
          <bgColor rgb="FFFF7C8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rgb="FF9C0006"/>
      </font>
      <fill>
        <patternFill>
          <fgColor auto="1"/>
          <bgColor rgb="FFFF7C8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rgb="FF9C0006"/>
      </font>
      <fill>
        <patternFill>
          <fgColor auto="1"/>
          <bgColor rgb="FFFF7C8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11907</xdr:colOff>
      <xdr:row>3</xdr:row>
      <xdr:rowOff>11906</xdr:rowOff>
    </xdr:from>
    <xdr:to>
      <xdr:col>9</xdr:col>
      <xdr:colOff>47626</xdr:colOff>
      <xdr:row>5</xdr:row>
      <xdr:rowOff>107156</xdr:rowOff>
    </xdr:to>
    <xdr:sp macro="[0]!ExportCalculators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30757751-1A2D-44CF-A397-5CD14598CAB2}"/>
            </a:ext>
          </a:extLst>
        </xdr:cNvPr>
        <xdr:cNvSpPr/>
      </xdr:nvSpPr>
      <xdr:spPr>
        <a:xfrm>
          <a:off x="8679657" y="619125"/>
          <a:ext cx="1143000" cy="523875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Нарезать калькуляторы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U79"/>
  <sheetViews>
    <sheetView tabSelected="1" topLeftCell="F15" zoomScale="85" zoomScaleNormal="85" workbookViewId="0">
      <selection activeCell="N16" sqref="N16"/>
    </sheetView>
  </sheetViews>
  <sheetFormatPr defaultColWidth="9.140625" defaultRowHeight="12.75" outlineLevelRow="1" outlineLevelCol="1" x14ac:dyDescent="0.2"/>
  <cols>
    <col min="1" max="1" width="2.140625" style="205" customWidth="1"/>
    <col min="2" max="2" width="3.28515625" style="149" customWidth="1"/>
    <col min="3" max="3" width="6" style="149" customWidth="1"/>
    <col min="4" max="4" width="4.42578125" style="150" customWidth="1"/>
    <col min="5" max="5" width="74.140625" style="149" customWidth="1"/>
    <col min="6" max="6" width="12.7109375" style="149" customWidth="1"/>
    <col min="7" max="7" width="12.42578125" style="149" customWidth="1"/>
    <col min="8" max="8" width="16.140625" style="149" customWidth="1"/>
    <col min="9" max="9" width="16.5703125" style="149" customWidth="1"/>
    <col min="10" max="10" width="15.140625" style="149" customWidth="1"/>
    <col min="11" max="13" width="14.7109375" style="201" customWidth="1" outlineLevel="1"/>
    <col min="14" max="14" width="14.7109375" style="204" customWidth="1" outlineLevel="1"/>
    <col min="15" max="15" width="31.140625" style="204" customWidth="1"/>
    <col min="16" max="18" width="14.28515625" style="201" customWidth="1" outlineLevel="1"/>
    <col min="19" max="19" width="14.28515625" style="204" customWidth="1" outlineLevel="1"/>
    <col min="20" max="20" width="31.140625" style="204" customWidth="1"/>
    <col min="21" max="16384" width="9.140625" style="205"/>
  </cols>
  <sheetData>
    <row r="1" spans="1:21" s="140" customFormat="1" ht="15.75" x14ac:dyDescent="0.25">
      <c r="A1" s="256" t="s">
        <v>53</v>
      </c>
      <c r="B1" s="141"/>
      <c r="C1" s="141"/>
      <c r="D1" s="141"/>
      <c r="E1" s="232" t="s">
        <v>99</v>
      </c>
      <c r="F1" s="231"/>
      <c r="G1" s="142"/>
      <c r="H1" s="143"/>
      <c r="J1" s="143"/>
      <c r="K1" s="275" t="s">
        <v>48</v>
      </c>
      <c r="L1" s="276"/>
      <c r="M1" s="277"/>
      <c r="N1" s="277"/>
      <c r="O1" s="144" t="s">
        <v>15</v>
      </c>
      <c r="P1" s="275" t="s">
        <v>48</v>
      </c>
      <c r="Q1" s="276"/>
      <c r="R1" s="277"/>
      <c r="S1" s="277"/>
      <c r="T1" s="144" t="s">
        <v>23</v>
      </c>
    </row>
    <row r="2" spans="1:21" s="140" customFormat="1" ht="16.5" thickBot="1" x14ac:dyDescent="0.3">
      <c r="A2" s="250"/>
      <c r="B2" s="141"/>
      <c r="C2" s="141"/>
      <c r="D2" s="141"/>
      <c r="E2" s="233" t="s">
        <v>98</v>
      </c>
      <c r="F2" s="234"/>
      <c r="G2" s="145"/>
      <c r="H2" s="142"/>
      <c r="J2" s="143"/>
      <c r="K2" s="278"/>
      <c r="L2" s="279"/>
      <c r="M2" s="280"/>
      <c r="N2" s="280"/>
      <c r="O2" s="206" t="s">
        <v>122</v>
      </c>
      <c r="P2" s="278"/>
      <c r="Q2" s="279"/>
      <c r="R2" s="280"/>
      <c r="S2" s="280"/>
      <c r="T2" s="206" t="s">
        <v>123</v>
      </c>
    </row>
    <row r="3" spans="1:21" s="142" customFormat="1" ht="21.75" customHeight="1" thickBot="1" x14ac:dyDescent="0.25">
      <c r="B3" s="141"/>
      <c r="C3" s="141"/>
      <c r="D3" s="141"/>
      <c r="E3" s="233" t="s">
        <v>126</v>
      </c>
      <c r="F3" s="234"/>
      <c r="G3" s="299"/>
      <c r="K3" s="281" t="s">
        <v>20</v>
      </c>
      <c r="L3" s="282"/>
      <c r="M3" s="283"/>
      <c r="N3" s="283"/>
      <c r="O3" s="206"/>
      <c r="P3" s="281" t="s">
        <v>20</v>
      </c>
      <c r="Q3" s="282"/>
      <c r="R3" s="283"/>
      <c r="S3" s="283"/>
      <c r="T3" s="206"/>
    </row>
    <row r="4" spans="1:21" s="140" customFormat="1" ht="18.75" outlineLevel="1" x14ac:dyDescent="0.3">
      <c r="B4" s="141"/>
      <c r="C4" s="141"/>
      <c r="D4" s="141"/>
      <c r="E4" s="235"/>
      <c r="F4" s="142"/>
      <c r="G4" s="142"/>
      <c r="H4" s="142"/>
      <c r="I4" s="146"/>
      <c r="J4" s="142"/>
      <c r="K4" s="281">
        <f>IF(OR(O1="КУПК (РП/ЗРП)",O1="КУПК"),"NPV стартовый","")</f>
      </c>
      <c r="L4" s="282"/>
      <c r="M4" s="283"/>
      <c r="N4" s="283"/>
      <c r="O4" s="208"/>
      <c r="P4" s="281">
        <f>IF(OR(T1="КУПК (РП/ЗРП)",T1="КУПК"),"NPV стартовый","")</f>
      </c>
      <c r="Q4" s="282"/>
      <c r="R4" s="283"/>
      <c r="S4" s="289"/>
      <c r="T4" s="255"/>
    </row>
    <row r="5" spans="1:21" s="142" customFormat="1" ht="15" customHeight="1" outlineLevel="1" x14ac:dyDescent="0.2">
      <c r="A5" s="140"/>
      <c r="B5" s="141"/>
      <c r="C5" s="141"/>
      <c r="D5" s="141"/>
      <c r="H5" s="147"/>
      <c r="I5" s="147"/>
      <c r="K5" s="281" t="s">
        <v>90</v>
      </c>
      <c r="L5" s="282"/>
      <c r="M5" s="283"/>
      <c r="N5" s="283"/>
      <c r="O5" s="207"/>
      <c r="P5" s="281" t="s">
        <v>90</v>
      </c>
      <c r="Q5" s="282"/>
      <c r="R5" s="283"/>
      <c r="S5" s="283"/>
      <c r="T5" s="207"/>
    </row>
    <row r="6" spans="1:21" s="140" customFormat="1" ht="15" customHeight="1" outlineLevel="1" x14ac:dyDescent="0.2">
      <c r="B6" s="148"/>
      <c r="C6" s="149"/>
      <c r="D6" s="150"/>
      <c r="E6" s="251"/>
      <c r="F6" s="142"/>
      <c r="G6" s="142"/>
      <c r="H6" s="142"/>
      <c r="I6" s="142"/>
      <c r="J6" s="142"/>
      <c r="K6" s="281" t="s">
        <v>67</v>
      </c>
      <c r="L6" s="282"/>
      <c r="M6" s="283"/>
      <c r="N6" s="283"/>
      <c r="O6" s="151">
        <f>(MAX($G15:$G39,K15:K39))-O$5+1</f>
      </c>
      <c r="P6" s="281" t="s">
        <v>67</v>
      </c>
      <c r="Q6" s="282"/>
      <c r="R6" s="283"/>
      <c r="S6" s="283"/>
      <c r="T6" s="151">
        <f>(MAX($G15:$G39,P15:P39))-T$5+1</f>
      </c>
    </row>
    <row r="7" spans="1:21" s="140" customFormat="1" ht="20.25" customHeight="1" outlineLevel="1" x14ac:dyDescent="0.2">
      <c r="B7" s="141"/>
      <c r="C7" s="148"/>
      <c r="D7" s="152"/>
      <c r="F7" s="142"/>
      <c r="G7" s="142"/>
      <c r="H7" s="142"/>
      <c r="I7" s="145"/>
      <c r="J7" s="142"/>
      <c r="K7" s="281" t="s">
        <v>91</v>
      </c>
      <c r="L7" s="282"/>
      <c r="M7" s="283"/>
      <c r="N7" s="283"/>
      <c r="O7" s="153">
        <f>IFERROR(SUM(O$45:O$79),0)</f>
      </c>
      <c r="P7" s="281" t="s">
        <v>91</v>
      </c>
      <c r="Q7" s="282"/>
      <c r="R7" s="283"/>
      <c r="S7" s="283"/>
      <c r="T7" s="153">
        <f>IFERROR(SUM(T$45:T$79),0)</f>
      </c>
    </row>
    <row r="8" spans="1:21" s="140" customFormat="1" ht="15" customHeight="1" outlineLevel="1" x14ac:dyDescent="0.2">
      <c r="B8" s="149"/>
      <c r="C8" s="149"/>
      <c r="D8" s="150"/>
      <c r="E8" s="143"/>
      <c r="F8" s="142"/>
      <c r="G8" s="154"/>
      <c r="H8" s="146"/>
      <c r="I8" s="146"/>
      <c r="J8" s="143"/>
      <c r="K8" s="281" t="s">
        <v>68</v>
      </c>
      <c r="L8" s="282"/>
      <c r="M8" s="283"/>
      <c r="N8" s="283"/>
      <c r="O8" s="153">
        <f>O$7*0.67</f>
      </c>
      <c r="P8" s="281" t="s">
        <v>68</v>
      </c>
      <c r="Q8" s="282"/>
      <c r="R8" s="283"/>
      <c r="S8" s="283"/>
      <c r="T8" s="153">
        <f>T$7*0.67</f>
      </c>
    </row>
    <row r="9" spans="1:21" s="140" customFormat="1" ht="34.5" customHeight="1" outlineLevel="1" x14ac:dyDescent="0.2">
      <c r="B9" s="149"/>
      <c r="C9" s="149"/>
      <c r="D9" s="150"/>
      <c r="E9" s="143"/>
      <c r="F9" s="145"/>
      <c r="G9" s="154"/>
      <c r="H9" s="143"/>
      <c r="I9" s="146"/>
      <c r="J9" s="143"/>
      <c r="K9" s="281" t="s">
        <v>69</v>
      </c>
      <c r="L9" s="282"/>
      <c r="M9" s="283"/>
      <c r="N9" s="283"/>
      <c r="O9" s="153">
        <f>O$7-O$8</f>
      </c>
      <c r="P9" s="281" t="s">
        <v>69</v>
      </c>
      <c r="Q9" s="282"/>
      <c r="R9" s="283"/>
      <c r="S9" s="283"/>
      <c r="T9" s="153">
        <f>T$7-T$8</f>
      </c>
    </row>
    <row r="10" spans="1:21" s="140" customFormat="1" ht="15" customHeight="1" outlineLevel="1" x14ac:dyDescent="0.2">
      <c r="B10" s="149"/>
      <c r="C10" s="149"/>
      <c r="D10" s="150"/>
      <c r="E10" s="143"/>
      <c r="F10" s="154"/>
      <c r="G10" s="149"/>
      <c r="H10" s="155"/>
      <c r="I10" s="154"/>
      <c r="J10" s="143"/>
      <c r="K10" s="281">
        <f>IF(OR(O1="КУПК (РП/ЗРП)",O1="КУПК"),"Коэф.фин.результата этапа","")</f>
      </c>
      <c r="L10" s="282"/>
      <c r="M10" s="283"/>
      <c r="N10" s="283"/>
      <c r="O10" s="156">
        <f>IF(O1="КУПК (РП/ЗРП)",MIN(1.5,MAX(0.5,IF(ABS(O11)&lt;500000000,IF(ABS(O11-O4)&gt;50000000,1+0.05/100000000*(O11-O4),1),O11/O4))),IF(O1="КУПК",MIN(1.25,MAX(0.75,IF(ABS(O11)&lt;500000000, IF(ABS(O11-O4)&gt;50000000,1+0.05/100000000*(O11-O4),1),O11/O4))),""))</f>
      </c>
      <c r="P10" s="281">
        <f>IF(OR(T1="КУПК (РП/ЗРП)",T1="КУПК"),"Коэф.фин.результата этапа","")</f>
      </c>
      <c r="Q10" s="282"/>
      <c r="R10" s="283"/>
      <c r="S10" s="289"/>
      <c r="T10" s="253">
        <f>IF(T1="КУПК (РП/ЗРП)",MIN(1.5,MAX(0.5,IF(ABS(T11)&lt;500000000,IF(ABS(T11-T4)&gt;50000000,1+0.05/100000000*(T11-T4),1),T11/T4))),IF(T1="КУПК",MIN(1.25,MAX(0.75,IF(ABS(T11)&lt;500000000, IF(ABS(T11-T4)&gt;50000000,1+0.05/100000000*(T11-T4),1),T11/T4))),""))</f>
      </c>
      <c r="U10" s="254"/>
    </row>
    <row r="11" spans="1:21" s="140" customFormat="1" ht="15" customHeight="1" outlineLevel="1" x14ac:dyDescent="0.2">
      <c r="B11" s="149"/>
      <c r="C11" s="149"/>
      <c r="D11" s="150"/>
      <c r="E11" s="143"/>
      <c r="F11" s="143"/>
      <c r="G11" s="143"/>
      <c r="H11" s="143"/>
      <c r="I11" s="154"/>
      <c r="J11" s="143"/>
      <c r="K11" s="281">
        <f>IF(OR(O1="КУПК (РП/ЗРП)",O1="КУПК"),"NPV текущий","")</f>
      </c>
      <c r="L11" s="282"/>
      <c r="M11" s="283"/>
      <c r="N11" s="283"/>
      <c r="O11" s="208"/>
      <c r="P11" s="281">
        <f>IF(OR(T1="КУПК (РП/ЗРП)",T1="КУПК"),"NPV текущий","")</f>
      </c>
      <c r="Q11" s="282"/>
      <c r="R11" s="283"/>
      <c r="S11" s="289"/>
      <c r="T11" s="253"/>
      <c r="U11" s="254"/>
    </row>
    <row r="12" spans="1:21" s="140" customFormat="1" ht="15" customHeight="1" outlineLevel="1" x14ac:dyDescent="0.2">
      <c r="B12" s="149"/>
      <c r="C12" s="149"/>
      <c r="D12" s="150"/>
      <c r="E12" s="143"/>
      <c r="F12" s="143"/>
      <c r="G12" s="143"/>
      <c r="H12" s="143"/>
      <c r="I12" s="154"/>
      <c r="J12" s="143"/>
      <c r="K12" s="281"/>
      <c r="L12" s="282"/>
      <c r="M12" s="283"/>
      <c r="N12" s="283"/>
      <c r="O12" s="227"/>
      <c r="P12" s="281"/>
      <c r="Q12" s="282"/>
      <c r="R12" s="283"/>
      <c r="S12" s="283"/>
      <c r="T12" s="227"/>
    </row>
    <row r="13" spans="1:21" s="140" customFormat="1" ht="15" customHeight="1" outlineLevel="1" x14ac:dyDescent="0.2">
      <c r="B13" s="149"/>
      <c r="C13" s="149"/>
      <c r="D13" s="150"/>
      <c r="E13" s="143"/>
      <c r="F13" s="143"/>
      <c r="G13" s="143"/>
      <c r="H13" s="143"/>
      <c r="I13" s="154"/>
      <c r="J13" s="143"/>
      <c r="K13" s="284">
        <f>IF(O12="","","Остаток бонуса на конец этапа")</f>
      </c>
      <c r="L13" s="285"/>
      <c r="M13" s="285"/>
      <c r="N13" s="282"/>
      <c r="O13" s="153" cm="1">
        <f t="array" ref="O13">IFERROR(IF(O$12="","",IF($H36="","",IF(K36="",_xlfn.IFS(O$1="МП", IF(((O$7*IF(AND(OR(O$1="КУПК",O$1="РУПК"),$F$3="Да"),90%+10%*MAX(0,MIN(1,($G$3-40%)*2)),1))/O$6*(O$12-O$5+IF(K$12="Дата ухода с проекта (этапа)",1,0)))*(1+($I36*1%))*((AVERAGE(O16:O35)-50%)*2)-SUM(N16:N35)&lt;0, 0, ((O$7*IF(AND(OR(O$1="КУПК",O$1="РУПК"),$F$3="Да"),90%+10%*MAX(0,MIN(1,($G$3-40%)*2)),1))/O$6*(O$12-O$5+IF(K$12="Дата ухода с проекта (этапа)",1,0)))*(1+($I36*1%))*((AVERAGE(O16:O35)-50%)*2)-SUM(N16:N35)),O$1="РУПК", IF(((O$7*IF(AND(OR(O$1="КУПК",O$1="РУПК"),$F$3="Да"),90%+10%*MAX(0,MIN(1,($G$3-40%)*2)),1))/O$6*(O$12-O$5+IF(K$12="Дата ухода с проекта (этапа)",1,0)))*(1+($I36*1%))-SUM(N16:N35)&lt;0, 0, ((O$7*IF(AND(OR(O$1="КУПК",O$1="РУПК"),$F$3="Да"),90%+10%*MAX(0,MIN(1,($G$3-40%)*2)),1))/O$6*(O$12-O$5+IF(K$12="Дата ухода с проекта (этапа)",1,0)))*(1+($I36*1%))-SUM(N16:N35)),OR(O$1="КУПК",O$1="КУПК (РП/ЗРП)"), IF(((O$7*IF(AND(OR(O$1="КУПК",O$1="РУПК"),$F$3="Да"),90%+10%*MAX(0,MIN(1,($G$3-40%)*2)),1))/O$6*(O$12-O$5+IF(K$12="Дата ухода с проекта (этапа)",1,0)))*O$10*(1+($I36*1%))-SUM(N16:N35)&lt;0, 0, ((O$7*IF(AND(OR(O$1="КУПК",O$1="РУПК"),$F$3="Да"),90%+10%*MAX(0,MIN(1,($G$3-40%)*2)),1))/O$6*(O$12-O$5+IF(K$12="Дата ухода с проекта (этапа)",1,0)))*O$10*(1+($I36*1%))-SUM(N16:N35))),_xlfn.IFS(O$1="МП", IF(((O$7*IF(AND(OR(O$1="КУПК",O$1="РУПК"),$F$3="Да"),90%+10%*MAX(0,MIN(1,($G$3-40%)*2)),1))/O$6*(O$12-O$5+IF(K$12="Дата ухода с проекта (этапа)",1,0)))*(1+((K36-$H36)*1%))*((AVERAGE(O16:O35)-50%)*2)-SUM(N16:N35)&lt;0, 0, ((O$7*IF(AND(OR(O$1="КУПК",O$1="РУПК"),$F$3="Да"),90%+10%*MAX(0,MIN(1,($G$3-40%)*2)),1))/O$6*(O$12-O$5+IF(K$12="Дата ухода с проекта (этапа)",1,0)))*(1+((K36-$H36)*1%))*((AVERAGE(O16:O35)-50%)*2)-SUM(N16:N35)),O$1="РУПК", IF(((O$7*IF(AND(OR(O$1="КУПК",O$1="РУПК"),$F$3="Да"),90%+10%*MAX(0,MIN(1,($G$3-40%)*2)),1))/O$6*(O$12-O$5+IF(K$12="Дата ухода с проекта (этапа)",1,0)))*(1+((K36-$H36)*1%))-SUM(N16:N35)&lt;0, 0, ((O$7*IF(AND(OR(O$1="КУПК",O$1="РУПК"),$F$3="Да"),90%+10%*MAX(0,MIN(1,($G$3-40%)*2)),1))/O$6*(O$12-O$5+IF(K$12="Дата ухода с проекта (этапа)",1,0)))*(1+((K36-$H36)*1%))-SUM(N16:N35)),OR(O$1="КУПК",O$1="КУПК (РП/ЗРП)"), IF(((O$7*IF(AND(OR(O$1="КУПК",O$1="РУПК"),$F$3="Да"),90%+10%*MAX(0,MIN(1,($G$3-40%)*2)),1))/O$6*(O$12-O$5+IF(K$12="Дата ухода с проекта (этапа)",1,0)))*O$10*(1+((K36-$H36)*1%))-SUM(N16:N35)&lt;0, 0, ((O$7*IF(AND(OR(O$1="КУПК",O$1="РУПК"),$F$3="Да"),90%+10%*MAX(0,MIN(1,($G$3-40%)*2)),1))/O$6*(O$12-O$5+IF(K$12="Дата ухода с проекта (этапа)",1,0)))*O$10*(1+((K36-$H36)*1%))-SUM(N16:N35)))))),"")</f>
      </c>
      <c r="P13" s="284">
        <f>IF(T12="","","Остаток бонуса на конец этапа")</f>
      </c>
      <c r="Q13" s="285"/>
      <c r="R13" s="285"/>
      <c r="S13" s="282"/>
      <c r="T13" s="153" cm="1">
        <f t="array" ref="T13">IFERROR(IF(T$12="","",IF($H36="","",IF(P36="",_xlfn.IFS(T$1="МП", IF(((T$7*IF(AND(OR(T$1="КУПК",T$1="РУПК"),$F$3="Да"),90%+10%*MAX(0,MIN(1,($G$3-40%)*2)),1))/T$6*(T$12-T$5+IF(P$12="Дата ухода с проекта (этапа)",1,0)))*(1+($I36*1%))*((AVERAGE(T16:T35)-50%)*2)-SUM(S16:S35)&lt;0, 0, ((T$7*IF(AND(OR(T$1="КУПК",T$1="РУПК"),$F$3="Да"),90%+10%*MAX(0,MIN(1,($G$3-40%)*2)),1))/T$6*(T$12-T$5+IF(P$12="Дата ухода с проекта (этапа)",1,0)))*(1+($I36*1%))*((AVERAGE(T16:T35)-50%)*2)-SUM(S16:S35)),T$1="РУПК", IF(((T$7*IF(AND(OR(T$1="КУПК",T$1="РУПК"),$F$3="Да"),90%+10%*MAX(0,MIN(1,($G$3-40%)*2)),1))/T$6*(T$12-T$5+IF(P$12="Дата ухода с проекта (этапа)",1,0)))*(1+($I36*1%))-SUM(S16:S35)&lt;0, 0, ((T$7*IF(AND(OR(T$1="КУПК",T$1="РУПК"),$F$3="Да"),90%+10%*MAX(0,MIN(1,($G$3-40%)*2)),1))/T$6*(T$12-T$5+IF(P$12="Дата ухода с проекта (этапа)",1,0)))*(1+($I36*1%))-SUM(S16:S35)),OR(T$1="КУПК",T$1="КУПК (РП/ЗРП)"), IF(((T$7*IF(AND(OR(T$1="КУПК",T$1="РУПК"),$F$3="Да"),90%+10%*MAX(0,MIN(1,($G$3-40%)*2)),1))/T$6*(T$12-T$5+IF(P$12="Дата ухода с проекта (этапа)",1,0)))*T$10*(1+($I36*1%))-SUM(S16:S35)&lt;0, 0, ((T$7*IF(AND(OR(T$1="КУПК",T$1="РУПК"),$F$3="Да"),90%+10%*MAX(0,MIN(1,($G$3-40%)*2)),1))/T$6*(T$12-T$5+IF(P$12="Дата ухода с проекта (этапа)",1,0)))*T$10*(1+($I36*1%))-SUM(S16:S35))),_xlfn.IFS(T$1="МП", IF(((T$7*IF(AND(OR(T$1="КУПК",T$1="РУПК"),$F$3="Да"),90%+10%*MAX(0,MIN(1,($G$3-40%)*2)),1))/T$6*(T$12-T$5+IF(P$12="Дата ухода с проекта (этапа)",1,0)))*(1+((P36-$H36)*1%))*((AVERAGE(T16:T35)-50%)*2)-SUM(S16:S35)&lt;0, 0, ((T$7*IF(AND(OR(T$1="КУПК",T$1="РУПК"),$F$3="Да"),90%+10%*MAX(0,MIN(1,($G$3-40%)*2)),1))/T$6*(T$12-T$5+IF(P$12="Дата ухода с проекта (этапа)",1,0)))*(1+((P36-$H36)*1%))*((AVERAGE(T16:T35)-50%)*2)-SUM(S16:S35)),T$1="РУПК", IF(((T$7*IF(AND(OR(T$1="КУПК",T$1="РУПК"),$F$3="Да"),90%+10%*MAX(0,MIN(1,($G$3-40%)*2)),1))/T$6*(T$12-T$5+IF(P$12="Дата ухода с проекта (этапа)",1,0)))*(1+((P36-$H36)*1%))-SUM(S16:S35)&lt;0, 0, ((T$7*IF(AND(OR(T$1="КУПК",T$1="РУПК"),$F$3="Да"),90%+10%*MAX(0,MIN(1,($G$3-40%)*2)),1))/T$6*(T$12-T$5+IF(P$12="Дата ухода с проекта (этапа)",1,0)))*(1+((P36-$H36)*1%))-SUM(S16:S35)),OR(T$1="КУПК",T$1="КУПК (РП/ЗРП)"), IF(((T$7*IF(AND(OR(T$1="КУПК",T$1="РУПК"),$F$3="Да"),90%+10%*MAX(0,MIN(1,($G$3-40%)*2)),1))/T$6*(T$12-T$5+IF(P$12="Дата ухода с проекта (этапа)",1,0)))*T$10*(1+((P36-$H36)*1%))-SUM(S16:S35)&lt;0, 0, ((T$7*IF(AND(OR(T$1="КУПК",T$1="РУПК"),$F$3="Да"),90%+10%*MAX(0,MIN(1,($G$3-40%)*2)),1))/T$6*(T$12-T$5+IF(P$12="Дата ухода с проекта (этапа)",1,0)))*T$10*(1+((P36-$H36)*1%))-SUM(S16:S35)))))),"")</f>
      </c>
    </row>
    <row r="14" spans="1:21" s="140" customFormat="1" ht="15" customHeight="1" outlineLevel="1" thickBot="1" x14ac:dyDescent="0.25">
      <c r="B14" s="149"/>
      <c r="C14" s="149"/>
      <c r="D14" s="150"/>
      <c r="E14" s="143"/>
      <c r="F14" s="143"/>
      <c r="G14" s="157"/>
      <c r="H14" s="157"/>
      <c r="I14" s="143"/>
      <c r="J14" s="143"/>
      <c r="K14" s="286" t="s">
        <v>92</v>
      </c>
      <c r="L14" s="287"/>
      <c r="M14" s="288"/>
      <c r="N14" s="288"/>
      <c r="O14" s="226"/>
      <c r="P14" s="286" t="s">
        <v>92</v>
      </c>
      <c r="Q14" s="287"/>
      <c r="R14" s="288"/>
      <c r="S14" s="288"/>
      <c r="T14" s="226"/>
    </row>
    <row r="15" spans="1:21" s="140" customFormat="1" ht="39" thickBot="1" x14ac:dyDescent="0.25">
      <c r="A15" s="163"/>
      <c r="B15" s="158"/>
      <c r="C15" s="159" t="s">
        <v>4</v>
      </c>
      <c r="D15" s="160" t="s">
        <v>0</v>
      </c>
      <c r="E15" s="161" t="s">
        <v>70</v>
      </c>
      <c r="F15" s="161" t="s">
        <v>71</v>
      </c>
      <c r="G15" s="161" t="s">
        <v>1</v>
      </c>
      <c r="H15" s="161" t="s">
        <v>2</v>
      </c>
      <c r="I15" s="161" t="s">
        <v>18</v>
      </c>
      <c r="J15" s="162" t="s">
        <v>75</v>
      </c>
      <c r="K15" s="221" t="s">
        <v>66</v>
      </c>
      <c r="L15" s="223"/>
      <c r="M15" s="160" t="s">
        <v>3</v>
      </c>
      <c r="N15" s="160" t="s">
        <v>5</v>
      </c>
      <c r="O15" s="222">
        <f>IF(OR(O1="КУПК (РП/ЗРП)",O1="КУПК"),"Комментарий/NPV/KPI","Комментарий")</f>
      </c>
      <c r="P15" s="221" t="s">
        <v>66</v>
      </c>
      <c r="Q15" s="223"/>
      <c r="R15" s="160" t="s">
        <v>3</v>
      </c>
      <c r="S15" s="160" t="s">
        <v>5</v>
      </c>
      <c r="T15" s="222">
        <f>IF(OR(T1="КУПК (РП/ЗРП)",T1="КУПК"),"Комментарий/NPV/KPI","Комментарий")</f>
      </c>
    </row>
    <row r="16" spans="1:21" s="164" customFormat="1" ht="43.5" customHeight="1" x14ac:dyDescent="0.25">
      <c r="A16" s="209"/>
      <c r="B16" s="209">
        <f>CONCATENATE(E16," ",F16)</f>
      </c>
      <c r="C16" s="258">
        <v>4</v>
      </c>
      <c r="D16" s="259">
        <v>1</v>
      </c>
      <c r="E16" s="260" t="s">
        <v>102</v>
      </c>
      <c r="F16" s="261"/>
      <c r="G16" s="262">
        <f>IFERROR(DATEVALUE(VLOOKUP(B16,'Лист для загрузки вех'!A:L,12,0)),"")</f>
      </c>
      <c r="H16" s="262">
        <f>G16</f>
      </c>
      <c r="I16" s="259">
        <f>IF(H16="","",G16-H16)</f>
      </c>
      <c r="J16" s="263">
        <f>IF(H16="","",DATE(YEAR(H16),ROUNDUP(MONTH(H16)/3,0)*3+2,10))</f>
      </c>
      <c r="K16" s="264"/>
      <c r="L16" s="265"/>
      <c r="M16" s="266" cm="1">
        <f t="array" ref="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</c>
      <c r="N16" s="267">
        <f>IFERROR(IF($I16&lt;-100,0,IF(IF(AND($F$1="Да",$F$2=O$5),TRUE,IF(K16="",$G16,K16)&gt;=O$5+60),IF($H16="","",IF(AND(O$1="МП",_xlfn.ISFORMULA(O16)),"Впиши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IF(K16="",1+0.5*O$10,1.5*O$10)))))),"Веха не участвует в расчете выплат за квартал")),"")</f>
      </c>
      <c r="O16" s="268">
        <f>IFERROR(IF(ISTEXT(N16),"",IF(AND(OR(O$1="КУПК",O$1="КУПК (РП/ЗРП)"),N16&gt;0),IF($H16="","",CONCATENATE("Расчёт при NPV = ",TEXT(O$11,"# ##0 ₽"),". Коэф. фин. рез. = ",ROUND(O$10,2))),"")),"")</f>
      </c>
      <c r="P16" s="269"/>
      <c r="Q16" s="270"/>
      <c r="R16" s="271" cm="1">
        <f t="array" ref="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</c>
      <c r="S16" s="272">
        <f>IFERROR(IF($I16&lt;-100,0,IF(IF(AND($F$1="Да",$F$2=T$5),TRUE,IF(P16="",$G16,P16)&gt;=T$5+60),IF($H16="","",IF(AND(T$1="МП",_xlfn.ISFORMULA(T16)),"Впиши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IF(P16="",1+0.5*T$10,1.5*T$10)))))),"Веха не участвует в расчете выплат за квартал")),"")</f>
      </c>
      <c r="T16" s="273">
        <f>IFERROR(IF(ISTEXT(S16),"",IF(AND(OR(T$1="КУПК",T$1="КУПК (РП/ЗРП)"),S16&gt;0),IF($H16="","",CONCATENATE("Расчёт при NPV = ",TEXT(T$11,"# ##0 ₽"),". Коэф. фин. рез. = ",ROUND(T$10,2))),"")),"")</f>
      </c>
    </row>
    <row r="17" spans="1:20" s="164" customFormat="1" ht="43.5" customHeight="1" x14ac:dyDescent="0.25">
      <c r="A17" s="209"/>
      <c r="B17" s="209">
        <f>CONCATENATE(E17," ",F17)</f>
      </c>
      <c r="C17" s="258">
        <v>4</v>
      </c>
      <c r="D17" s="259">
        <v>2</v>
      </c>
      <c r="E17" s="260" t="s">
        <v>109</v>
      </c>
      <c r="F17" s="261"/>
      <c r="G17" s="262">
        <f>IFERROR(DATEVALUE(VLOOKUP(B17,'Лист для загрузки вех'!A:L,12,0)),"")</f>
      </c>
      <c r="H17" s="262">
        <f>G17</f>
      </c>
      <c r="I17" s="259">
        <f>IF(H17="","",G17-H17)</f>
      </c>
      <c r="J17" s="263">
        <f>IF(H17="","",DATE(YEAR(H17),ROUNDUP(MONTH(H17)/3,0)*3+2,10))</f>
      </c>
      <c r="K17" s="264"/>
      <c r="L17" s="265"/>
      <c r="M17" s="266" cm="1">
        <f t="array" ref="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</c>
      <c r="N17" s="267">
        <f>IFERROR(IF($I17&lt;-100,0,IF(IF(AND($F$1="Да",$F$2=O$5),TRUE,IF(K17="",$G17,K17)&gt;=O$5+60),IF($H17="","",IF(AND(O$1="МП",_xlfn.ISFORMULA(O17)),"Впиши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IF(K17="",1+0.5*O$10,1.5*O$10)))))),"Веха не участвует в расчете выплат за квартал")),"")</f>
      </c>
      <c r="O17" s="268">
        <f>IFERROR(IF(ISTEXT(N17),"",IF(AND(OR(O$1="КУПК",O$1="КУПК (РП/ЗРП)"),N17&gt;0),IF($H17="","",CONCATENATE("Расчёт при NPV = ",TEXT(O$11,"# ##0 ₽"),". Коэф. фин. рез. = ",ROUND(O$10,2))),"")),"")</f>
      </c>
      <c r="P17" s="264"/>
      <c r="Q17" s="265"/>
      <c r="R17" s="266" cm="1">
        <f t="array" ref="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</c>
      <c r="S17" s="267">
        <f>IFERROR(IF($I17&lt;-100,0,IF(IF(AND($F$1="Да",$F$2=T$5),TRUE,IF(P17="",$G17,P17)&gt;=T$5+60),IF($H17="","",IF(AND(T$1="МП",_xlfn.ISFORMULA(T17)),"Впиши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IF(P17="",1+0.5*T$10,1.5*T$10)))))),"Веха не участвует в расчете выплат за квартал")),"")</f>
      </c>
      <c r="T17" s="268">
        <f>IFERROR(IF(ISTEXT(S17),"",IF(AND(OR(T$1="КУПК",T$1="КУПК (РП/ЗРП)"),S17&gt;0),IF($H17="","",CONCATENATE("Расчёт при NPV = ",TEXT(T$11,"# ##0 ₽"),". Коэф. фин. рез. = ",ROUND(T$10,2))),"")),"")</f>
      </c>
    </row>
    <row r="18" spans="1:20" s="164" customFormat="1" ht="43.5" customHeight="1" x14ac:dyDescent="0.25">
      <c r="A18" s="209"/>
      <c r="B18" s="209">
        <f>CONCATENATE(E18," ",F18)</f>
      </c>
      <c r="C18" s="165">
        <v>4</v>
      </c>
      <c r="D18" s="166">
        <f>D17+1</f>
      </c>
      <c r="E18" s="167" t="s">
        <v>113</v>
      </c>
      <c r="F18" s="51"/>
      <c r="G18" s="168">
        <f>IFERROR(DATEVALUE(VLOOKUP(B18,'Лист для загрузки вех'!A:L,12,0)),"")</f>
      </c>
      <c r="H18" s="168"/>
      <c r="I18" s="166">
        <f>IF(H18="","",G18-H18)</f>
      </c>
      <c r="J18" s="224">
        <f>IF(H18="","",DATE(YEAR(H18),ROUNDUP(MONTH(H18)/3,0)*3+2,10))</f>
      </c>
      <c r="K18" s="169"/>
      <c r="L18" s="172"/>
      <c r="M18" s="173" cm="1">
        <f t="array" ref="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</c>
      <c r="N18" s="170">
        <f>IFERROR(IF($I18&lt;-100,0,IF(IF(AND($F$1="Да",$F$2=O$5),TRUE,IF(K18="",$G18,K18)&gt;=O$5+60),IF($H18="","",IF(AND(O$1="МП",_xlfn.ISFORMULA(O18)),"Впиши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IF(K18="",1+0.5*O$10,1.5*O$10)))))),"Веха не участвует в расчете выплат за квартал")),"")</f>
      </c>
      <c r="O18" s="171">
        <f>IFERROR(IF(ISTEXT(N18),"",IF(AND(OR(O$1="КУПК",O$1="КУПК (РП/ЗРП)"),N18&gt;0),IF($H18="","",CONCATENATE("Расчёт при NPV = ",TEXT(O$11,"# ##0 ₽"),". Коэф. фин. рез. = ",ROUND(O$10,2))),"")),"")</f>
      </c>
      <c r="P18" s="169"/>
      <c r="Q18" s="172"/>
      <c r="R18" s="173" cm="1">
        <f t="array" ref="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</c>
      <c r="S18" s="170">
        <f>IFERROR(IF($I18&lt;-100,0,IF(IF(AND($F$1="Да",$F$2=T$5),TRUE,IF(P18="",$G18,P18)&gt;=T$5+60),IF($H18="","",IF(AND(T$1="МП",_xlfn.ISFORMULA(T18)),"Впиши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IF(P18="",1+0.5*T$10,1.5*T$10)))))),"Веха не участвует в расчете выплат за квартал")),"")</f>
      </c>
      <c r="T18" s="171">
        <f>IFERROR(IF(ISTEXT(S18),"",IF(AND(OR(T$1="КУПК",T$1="КУПК (РП/ЗРП)"),S18&gt;0),IF($H18="","",CONCATENATE("Расчёт при NPV = ",TEXT(T$11,"# ##0 ₽"),". Коэф. фин. рез. = ",ROUND(T$10,2))),"")),"")</f>
      </c>
    </row>
    <row r="19" spans="1:20" s="164" customFormat="1" ht="43.5" customHeight="1" thickBot="1" x14ac:dyDescent="0.3">
      <c r="A19" s="209"/>
      <c r="B19" s="209">
        <f>CONCATENATE(E19," ",F19)</f>
      </c>
      <c r="C19" s="165">
        <v>4</v>
      </c>
      <c r="D19" s="166">
        <f>D18+1</f>
      </c>
      <c r="E19" s="167" t="s">
        <v>116</v>
      </c>
      <c r="F19" s="51"/>
      <c r="G19" s="168">
        <f>IFERROR(DATEVALUE(VLOOKUP(B19,'Лист для загрузки вех'!A:L,12,0)),"")</f>
      </c>
      <c r="H19" s="168"/>
      <c r="I19" s="166">
        <f>IF(H19="","",G19-H19)</f>
      </c>
      <c r="J19" s="224">
        <f>IF(H19="","",DATE(YEAR(H19),ROUNDUP(MONTH(H19)/3,0)*3+2,10))</f>
      </c>
      <c r="K19" s="169"/>
      <c r="L19" s="172"/>
      <c r="M19" s="173" cm="1">
        <f t="array" ref="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</c>
      <c r="N19" s="170">
        <f>IFERROR(IF($I19&lt;-100,0,IF(IF(AND($F$1="Да",$F$2=O$5),TRUE,IF(K19="",$G19,K19)&gt;=O$5+60),IF($H19="","",IF(AND(O$1="МП",_xlfn.ISFORMULA(O19)),"Впиши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IF(K19="",1+0.5*O$10,1.5*O$10)))))),"Веха не участвует в расчете выплат за квартал")),"")</f>
      </c>
      <c r="O19" s="171">
        <f>IFERROR(IF(ISTEXT(N19),"",IF(AND(OR(O$1="КУПК",O$1="КУПК (РП/ЗРП)"),N19&gt;0),IF($H19="","",CONCATENATE("Расчёт при NPV = ",TEXT(O$11,"# ##0 ₽"),". Коэф. фин. рез. = ",ROUND(O$10,2))),"")),"")</f>
      </c>
      <c r="P19" s="169"/>
      <c r="Q19" s="172"/>
      <c r="R19" s="173" cm="1">
        <f t="array" ref="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</c>
      <c r="S19" s="170">
        <f>IFERROR(IF($I19&lt;-100,0,IF(IF(AND($F$1="Да",$F$2=T$5),TRUE,IF(P19="",$G19,P19)&gt;=T$5+60),IF($H19="","",IF(AND(T$1="МП",_xlfn.ISFORMULA(T19)),"Впиши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IF(P19="",1+0.5*T$10,1.5*T$10)))))),"Веха не участвует в расчете выплат за квартал")),"")</f>
      </c>
      <c r="T19" s="171">
        <f>IFERROR(IF(ISTEXT(S19),"",IF(AND(OR(T$1="КУПК",T$1="КУПК (РП/ЗРП)"),S19&gt;0),IF($H19="","",CONCATENATE("Расчёт при NPV = ",TEXT(T$11,"# ##0 ₽"),". Коэф. фин. рез. = ",ROUND(T$10,2))),"")),"")</f>
      </c>
    </row>
    <row r="20" spans="1:20" s="164" customFormat="1" ht="43.5" hidden="1" customHeight="1" x14ac:dyDescent="0.25">
      <c r="A20" s="209"/>
      <c r="B20" s="209">
        <f>CONCATENATE(E20," ",F20)</f>
      </c>
      <c r="C20" s="165">
        <v>4</v>
      </c>
      <c r="D20" s="166">
        <f>D19+1</f>
      </c>
      <c r="E20" s="167"/>
      <c r="F20" s="51"/>
      <c r="G20" s="168">
        <f>IFERROR(DATEVALUE(VLOOKUP(B20,'Лист для загрузки вех'!A:L,12,0)),"")</f>
      </c>
      <c r="H20" s="168"/>
      <c r="I20" s="166">
        <f>IF(H20="","",G20-H20)</f>
      </c>
      <c r="J20" s="224">
        <f>IF(H20="","",DATE(YEAR(H20),ROUNDUP(MONTH(H20)/3,0)*3+2,10))</f>
      </c>
      <c r="K20" s="169"/>
      <c r="L20" s="172"/>
      <c r="M20" s="173" cm="1">
        <f t="array" ref="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</c>
      <c r="N20" s="170">
        <f>IFERROR(IF($I20&lt;-100,0,IF(IF(AND($F$1="Да",$F$2=O$5),TRUE,IF(K20="",$G20,K20)&gt;=O$5+60),IF($H20="","",IF(AND(O$1="МП",_xlfn.ISFORMULA(O20)),"Впиши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IF(K20="",1+0.5*O$10,1.5*O$10)))))),"Веха не участвует в расчете выплат за квартал")),"")</f>
      </c>
      <c r="O20" s="171">
        <f>IFERROR(IF(ISTEXT(N20),"",IF(AND(OR(O$1="КУПК",O$1="КУПК (РП/ЗРП)"),N20&gt;0),IF($H20="","",CONCATENATE("Расчёт при NPV = ",TEXT(O$11,"# ##0 ₽"),". Коэф. фин. рез. = ",ROUND(O$10,2))),"")),"")</f>
      </c>
      <c r="P20" s="169"/>
      <c r="Q20" s="172"/>
      <c r="R20" s="173" cm="1">
        <f t="array" ref="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</c>
      <c r="S20" s="170">
        <f>IFERROR(IF($I20&lt;-100,0,IF(IF(AND($F$1="Да",$F$2=T$5),TRUE,IF(P20="",$G20,P20)&gt;=T$5+60),IF($H20="","",IF(AND(T$1="МП",_xlfn.ISFORMULA(T20)),"Впиши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IF(P20="",1+0.5*T$10,1.5*T$10)))))),"Веха не участвует в расчете выплат за квартал")),"")</f>
      </c>
      <c r="T20" s="171">
        <f>IFERROR(IF(ISTEXT(S20),"",IF(AND(OR(T$1="КУПК",T$1="КУПК (РП/ЗРП)"),S20&gt;0),IF($H20="","",CONCATENATE("Расчёт при NPV = ",TEXT(T$11,"# ##0 ₽"),". Коэф. фин. рез. = ",ROUND(T$10,2))),"")),"")</f>
      </c>
    </row>
    <row r="21" spans="1:20" s="164" customFormat="1" ht="43.5" hidden="1" customHeight="1" x14ac:dyDescent="0.25">
      <c r="A21" s="209"/>
      <c r="B21" s="209">
        <f>CONCATENATE(E21," ",F21)</f>
      </c>
      <c r="C21" s="165">
        <v>4</v>
      </c>
      <c r="D21" s="166">
        <f>D20+1</f>
      </c>
      <c r="E21" s="167"/>
      <c r="F21" s="51"/>
      <c r="G21" s="168">
        <f>IFERROR(DATEVALUE(VLOOKUP(B21,'Лист для загрузки вех'!A:L,12,0)),"")</f>
      </c>
      <c r="H21" s="168"/>
      <c r="I21" s="166">
        <f>IF(H21="","",G21-H21)</f>
      </c>
      <c r="J21" s="224">
        <f>IF(H21="","",DATE(YEAR(H21),ROUNDUP(MONTH(H21)/3,0)*3+2,10))</f>
      </c>
      <c r="K21" s="169"/>
      <c r="L21" s="172"/>
      <c r="M21" s="173" cm="1">
        <f t="array" ref="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</c>
      <c r="N21" s="170">
        <f>IFERROR(IF($I21&lt;-100,0,IF(IF(AND($F$1="Да",$F$2=O$5),TRUE,IF(K21="",$G21,K21)&gt;=O$5+60),IF($H21="","",IF(AND(O$1="МП",_xlfn.ISFORMULA(O21)),"Впиши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IF(K21="",1+0.5*O$10,1.5*O$10)))))),"Веха не участвует в расчете выплат за квартал")),"")</f>
      </c>
      <c r="O21" s="171">
        <f>IFERROR(IF(ISTEXT(N21),"",IF(AND(OR(O$1="КУПК",O$1="КУПК (РП/ЗРП)"),N21&gt;0),IF($H21="","",CONCATENATE("Расчёт при NPV = ",TEXT(O$11,"# ##0 ₽"),". Коэф. фин. рез. = ",ROUND(O$10,2))),"")),"")</f>
      </c>
      <c r="P21" s="169"/>
      <c r="Q21" s="172"/>
      <c r="R21" s="173" cm="1">
        <f t="array" ref="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</c>
      <c r="S21" s="170">
        <f>IFERROR(IF($I21&lt;-100,0,IF(IF(AND($F$1="Да",$F$2=T$5),TRUE,IF(P21="",$G21,P21)&gt;=T$5+60),IF($H21="","",IF(AND(T$1="МП",_xlfn.ISFORMULA(T21)),"Впиши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IF(P21="",1+0.5*T$10,1.5*T$10)))))),"Веха не участвует в расчете выплат за квартал")),"")</f>
      </c>
      <c r="T21" s="171">
        <f>IFERROR(IF(ISTEXT(S21),"",IF(AND(OR(T$1="КУПК",T$1="КУПК (РП/ЗРП)"),S21&gt;0),IF($H21="","",CONCATENATE("Расчёт при NPV = ",TEXT(T$11,"# ##0 ₽"),". Коэф. фин. рез. = ",ROUND(T$10,2))),"")),"")</f>
      </c>
    </row>
    <row r="22" spans="1:20" s="164" customFormat="1" ht="43.5" hidden="1" customHeight="1" x14ac:dyDescent="0.25">
      <c r="A22" s="209"/>
      <c r="B22" s="209">
        <f>CONCATENATE(E22," ",F22)</f>
      </c>
      <c r="C22" s="165">
        <v>4</v>
      </c>
      <c r="D22" s="166">
        <f>D21+1</f>
      </c>
      <c r="E22" s="167"/>
      <c r="F22" s="51"/>
      <c r="G22" s="168">
        <f>IFERROR(DATEVALUE(VLOOKUP(B22,'Лист для загрузки вех'!A:L,12,0)),"")</f>
      </c>
      <c r="H22" s="168"/>
      <c r="I22" s="166">
        <f>IF(H22="","",G22-H22)</f>
      </c>
      <c r="J22" s="224">
        <f>IF(H22="","",DATE(YEAR(H22),ROUNDUP(MONTH(H22)/3,0)*3+2,10))</f>
      </c>
      <c r="K22" s="169"/>
      <c r="L22" s="172"/>
      <c r="M22" s="173" cm="1">
        <f t="array" ref="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</c>
      <c r="N22" s="170">
        <f>IFERROR(IF($I22&lt;-100,0,IF(IF(AND($F$1="Да",$F$2=O$5),TRUE,IF(K22="",$G22,K22)&gt;=O$5+60),IF($H22="","",IF(AND(O$1="МП",_xlfn.ISFORMULA(O22)),"Впиши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IF(K22="",1+0.5*O$10,1.5*O$10)))))),"Веха не участвует в расчете выплат за квартал")),"")</f>
      </c>
      <c r="O22" s="171">
        <f>IFERROR(IF(ISTEXT(N22),"",IF(AND(OR(O$1="КУПК",O$1="КУПК (РП/ЗРП)"),N22&gt;0),IF($H22="","",CONCATENATE("Расчёт при NPV = ",TEXT(O$11,"# ##0 ₽"),". Коэф. фин. рез. = ",ROUND(O$10,2))),"")),"")</f>
      </c>
      <c r="P22" s="169"/>
      <c r="Q22" s="172"/>
      <c r="R22" s="173" cm="1">
        <f t="array" ref="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</c>
      <c r="S22" s="170">
        <f>IFERROR(IF($I22&lt;-100,0,IF(IF(AND($F$1="Да",$F$2=T$5),TRUE,IF(P22="",$G22,P22)&gt;=T$5+60),IF($H22="","",IF(AND(T$1="МП",_xlfn.ISFORMULA(T22)),"Впиши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IF(P22="",1+0.5*T$10,1.5*T$10)))))),"Веха не участвует в расчете выплат за квартал")),"")</f>
      </c>
      <c r="T22" s="171">
        <f>IFERROR(IF(ISTEXT(S22),"",IF(AND(OR(T$1="КУПК",T$1="КУПК (РП/ЗРП)"),S22&gt;0),IF($H22="","",CONCATENATE("Расчёт при NPV = ",TEXT(T$11,"# ##0 ₽"),". Коэф. фин. рез. = ",ROUND(T$10,2))),"")),"")</f>
      </c>
    </row>
    <row r="23" spans="1:20" s="164" customFormat="1" ht="43.5" hidden="1" customHeight="1" x14ac:dyDescent="0.25">
      <c r="A23" s="209"/>
      <c r="B23" s="209">
        <f>CONCATENATE(E23," ",F23)</f>
      </c>
      <c r="C23" s="165">
        <v>4</v>
      </c>
      <c r="D23" s="166">
        <f>D22+1</f>
      </c>
      <c r="E23" s="167"/>
      <c r="F23" s="51"/>
      <c r="G23" s="168">
        <f>IFERROR(DATEVALUE(VLOOKUP(B23,'Лист для загрузки вех'!A:L,12,0)),"")</f>
      </c>
      <c r="H23" s="168"/>
      <c r="I23" s="166">
        <f>IF(H23="","",G23-H23)</f>
      </c>
      <c r="J23" s="224">
        <f>IF(H23="","",DATE(YEAR(H23),ROUNDUP(MONTH(H23)/3,0)*3+2,10))</f>
      </c>
      <c r="K23" s="169"/>
      <c r="L23" s="172"/>
      <c r="M23" s="173" cm="1">
        <f t="array" ref="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</c>
      <c r="N23" s="170">
        <f>IFERROR(IF($I23&lt;-100,0,IF(IF(AND($F$1="Да",$F$2=O$5),TRUE,IF(K23="",$G23,K23)&gt;=O$5+60),IF($H23="","",IF(AND(O$1="МП",_xlfn.ISFORMULA(O23)),"Впиши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IF(K23="",1+0.5*O$10,1.5*O$10)))))),"Веха не участвует в расчете выплат за квартал")),"")</f>
      </c>
      <c r="O23" s="171">
        <f>IFERROR(IF(ISTEXT(N23),"",IF(AND(OR(O$1="КУПК",O$1="КУПК (РП/ЗРП)"),N23&gt;0),IF($H23="","",CONCATENATE("Расчёт при NPV = ",TEXT(O$11,"# ##0 ₽"),". Коэф. фин. рез. = ",ROUND(O$10,2))),"")),"")</f>
      </c>
      <c r="P23" s="169"/>
      <c r="Q23" s="172"/>
      <c r="R23" s="173" cm="1">
        <f t="array" ref="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</c>
      <c r="S23" s="170">
        <f>IFERROR(IF($I23&lt;-100,0,IF(IF(AND($F$1="Да",$F$2=T$5),TRUE,IF(P23="",$G23,P23)&gt;=T$5+60),IF($H23="","",IF(AND(T$1="МП",_xlfn.ISFORMULA(T23)),"Впиши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IF(P23="",1+0.5*T$10,1.5*T$10)))))),"Веха не участвует в расчете выплат за квартал")),"")</f>
      </c>
      <c r="T23" s="171">
        <f>IFERROR(IF(ISTEXT(S23),"",IF(AND(OR(T$1="КУПК",T$1="КУПК (РП/ЗРП)"),S23&gt;0),IF($H23="","",CONCATENATE("Расчёт при NPV = ",TEXT(T$11,"# ##0 ₽"),". Коэф. фин. рез. = ",ROUND(T$10,2))),"")),"")</f>
      </c>
    </row>
    <row r="24" spans="1:20" s="164" customFormat="1" ht="43.5" hidden="1" customHeight="1" x14ac:dyDescent="0.25">
      <c r="A24" s="209"/>
      <c r="B24" s="209">
        <f>CONCATENATE(E24," ",F24)</f>
      </c>
      <c r="C24" s="165">
        <v>4</v>
      </c>
      <c r="D24" s="166">
        <f>D23+1</f>
      </c>
      <c r="E24" s="167"/>
      <c r="F24" s="51"/>
      <c r="G24" s="168">
        <f>IFERROR(DATEVALUE(VLOOKUP(B24,'Лист для загрузки вех'!A:L,12,0)),"")</f>
      </c>
      <c r="H24" s="168"/>
      <c r="I24" s="166">
        <f>IF(H24="","",G24-H24)</f>
      </c>
      <c r="J24" s="224">
        <f>IF(H24="","",DATE(YEAR(H24),ROUNDUP(MONTH(H24)/3,0)*3+2,10))</f>
      </c>
      <c r="K24" s="169"/>
      <c r="L24" s="172"/>
      <c r="M24" s="173" cm="1">
        <f t="array" ref="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</c>
      <c r="N24" s="170">
        <f>IFERROR(IF($I24&lt;-100,0,IF(IF(AND($F$1="Да",$F$2=O$5),TRUE,IF(K24="",$G24,K24)&gt;=O$5+60),IF($H24="","",IF(AND(O$1="МП",_xlfn.ISFORMULA(O24)),"Впиши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IF(K24="",1+0.5*O$10,1.5*O$10)))))),"Веха не участвует в расчете выплат за квартал")),"")</f>
      </c>
      <c r="O24" s="171">
        <f>IFERROR(IF(ISTEXT(N24),"",IF(AND(OR(O$1="КУПК",O$1="КУПК (РП/ЗРП)"),N24&gt;0),IF($H24="","",CONCATENATE("Расчёт при NPV = ",TEXT(O$11,"# ##0 ₽"),". Коэф. фин. рез. = ",ROUND(O$10,2))),"")),"")</f>
      </c>
      <c r="P24" s="169"/>
      <c r="Q24" s="172"/>
      <c r="R24" s="173" cm="1">
        <f t="array" ref="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</c>
      <c r="S24" s="170">
        <f>IFERROR(IF($I24&lt;-100,0,IF(IF(AND($F$1="Да",$F$2=T$5),TRUE,IF(P24="",$G24,P24)&gt;=T$5+60),IF($H24="","",IF(AND(T$1="МП",_xlfn.ISFORMULA(T24)),"Впиши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IF(P24="",1+0.5*T$10,1.5*T$10)))))),"Веха не участвует в расчете выплат за квартал")),"")</f>
      </c>
      <c r="T24" s="171">
        <f>IFERROR(IF(ISTEXT(S24),"",IF(AND(OR(T$1="КУПК",T$1="КУПК (РП/ЗРП)"),S24&gt;0),IF($H24="","",CONCATENATE("Расчёт при NPV = ",TEXT(T$11,"# ##0 ₽"),". Коэф. фин. рез. = ",ROUND(T$10,2))),"")),"")</f>
      </c>
    </row>
    <row r="25" spans="1:20" s="164" customFormat="1" ht="43.5" hidden="1" customHeight="1" x14ac:dyDescent="0.25">
      <c r="A25" s="209"/>
      <c r="B25" s="209">
        <f>CONCATENATE(E25," ",F25)</f>
      </c>
      <c r="C25" s="165">
        <v>4</v>
      </c>
      <c r="D25" s="166">
        <f>D24+1</f>
      </c>
      <c r="E25" s="167"/>
      <c r="F25" s="51"/>
      <c r="G25" s="168">
        <f>IFERROR(DATEVALUE(VLOOKUP(B25,'Лист для загрузки вех'!A:L,12,0)),"")</f>
      </c>
      <c r="H25" s="168"/>
      <c r="I25" s="166">
        <f>IF(H25="","",G25-H25)</f>
      </c>
      <c r="J25" s="224">
        <f>IF(H25="","",DATE(YEAR(H25),ROUNDUP(MONTH(H25)/3,0)*3+2,10))</f>
      </c>
      <c r="K25" s="169"/>
      <c r="L25" s="172"/>
      <c r="M25" s="173" cm="1">
        <f t="array" ref="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</c>
      <c r="N25" s="170">
        <f>IFERROR(IF($I25&lt;-100,0,IF(IF(AND($F$1="Да",$F$2=O$5),TRUE,IF(K25="",$G25,K25)&gt;=O$5+60),IF($H25="","",IF(AND(O$1="МП",_xlfn.ISFORMULA(O25)),"Впиши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IF(K25="",1+0.5*O$10,1.5*O$10)))))),"Веха не участвует в расчете выплат за квартал")),"")</f>
      </c>
      <c r="O25" s="171">
        <f>IFERROR(IF(ISTEXT(N25),"",IF(AND(OR(O$1="КУПК",O$1="КУПК (РП/ЗРП)"),N25&gt;0),IF($H25="","",CONCATENATE("Расчёт при NPV = ",TEXT(O$11,"# ##0 ₽"),". Коэф. фин. рез. = ",ROUND(O$10,2))),"")),"")</f>
      </c>
      <c r="P25" s="169"/>
      <c r="Q25" s="172"/>
      <c r="R25" s="173" cm="1">
        <f t="array" ref="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</c>
      <c r="S25" s="170">
        <f>IFERROR(IF($I25&lt;-100,0,IF(IF(AND($F$1="Да",$F$2=T$5),TRUE,IF(P25="",$G25,P25)&gt;=T$5+60),IF($H25="","",IF(AND(T$1="МП",_xlfn.ISFORMULA(T25)),"Впиши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IF(P25="",1+0.5*T$10,1.5*T$10)))))),"Веха не участвует в расчете выплат за квартал")),"")</f>
      </c>
      <c r="T25" s="171">
        <f>IFERROR(IF(ISTEXT(S25),"",IF(AND(OR(T$1="КУПК",T$1="КУПК (РП/ЗРП)"),S25&gt;0),IF($H25="","",CONCATENATE("Расчёт при NPV = ",TEXT(T$11,"# ##0 ₽"),". Коэф. фин. рез. = ",ROUND(T$10,2))),"")),"")</f>
      </c>
    </row>
    <row r="26" spans="1:20" s="164" customFormat="1" ht="43.5" hidden="1" customHeight="1" x14ac:dyDescent="0.25">
      <c r="A26" s="209"/>
      <c r="B26" s="209">
        <f>CONCATENATE(E26," ",F26)</f>
      </c>
      <c r="C26" s="165">
        <v>4</v>
      </c>
      <c r="D26" s="166">
        <f>D25+1</f>
      </c>
      <c r="E26" s="167"/>
      <c r="F26" s="51"/>
      <c r="G26" s="168">
        <f>IFERROR(DATEVALUE(VLOOKUP(B26,'Лист для загрузки вех'!A:L,12,0)),"")</f>
      </c>
      <c r="H26" s="168"/>
      <c r="I26" s="166">
        <f>IF(H26="","",G26-H26)</f>
      </c>
      <c r="J26" s="224">
        <f>IF(H26="","",DATE(YEAR(H26),ROUNDUP(MONTH(H26)/3,0)*3+2,10))</f>
      </c>
      <c r="K26" s="169"/>
      <c r="L26" s="172"/>
      <c r="M26" s="173" cm="1">
        <f t="array" ref="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</c>
      <c r="N26" s="170">
        <f>IFERROR(IF($I26&lt;-100,0,IF(IF(AND($F$1="Да",$F$2=O$5),TRUE,IF(K26="",$G26,K26)&gt;=O$5+60),IF($H26="","",IF(AND(O$1="МП",_xlfn.ISFORMULA(O26)),"Впиши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IF(K26="",1+0.5*O$10,1.5*O$10)))))),"Веха не участвует в расчете выплат за квартал")),"")</f>
      </c>
      <c r="O26" s="171">
        <f>IFERROR(IF(ISTEXT(N26),"",IF(AND(OR(O$1="КУПК",O$1="КУПК (РП/ЗРП)"),N26&gt;0),IF($H26="","",CONCATENATE("Расчёт при NPV = ",TEXT(O$11,"# ##0 ₽"),". Коэф. фин. рез. = ",ROUND(O$10,2))),"")),"")</f>
      </c>
      <c r="P26" s="169"/>
      <c r="Q26" s="172"/>
      <c r="R26" s="173" cm="1">
        <f t="array" ref="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</c>
      <c r="S26" s="170">
        <f>IFERROR(IF($I26&lt;-100,0,IF(IF(AND($F$1="Да",$F$2=T$5),TRUE,IF(P26="",$G26,P26)&gt;=T$5+60),IF($H26="","",IF(AND(T$1="МП",_xlfn.ISFORMULA(T26)),"Впиши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IF(P26="",1+0.5*T$10,1.5*T$10)))))),"Веха не участвует в расчете выплат за квартал")),"")</f>
      </c>
      <c r="T26" s="171">
        <f>IFERROR(IF(ISTEXT(S26),"",IF(AND(OR(T$1="КУПК",T$1="КУПК (РП/ЗРП)"),S26&gt;0),IF($H26="","",CONCATENATE("Расчёт при NPV = ",TEXT(T$11,"# ##0 ₽"),". Коэф. фин. рез. = ",ROUND(T$10,2))),"")),"")</f>
      </c>
    </row>
    <row r="27" spans="1:20" s="164" customFormat="1" ht="43.5" hidden="1" customHeight="1" x14ac:dyDescent="0.25">
      <c r="A27" s="209"/>
      <c r="B27" s="209">
        <f>CONCATENATE(E27," ",F27)</f>
      </c>
      <c r="C27" s="165">
        <v>4</v>
      </c>
      <c r="D27" s="166">
        <f>D26+1</f>
      </c>
      <c r="E27" s="167"/>
      <c r="F27" s="51"/>
      <c r="G27" s="168">
        <f>IFERROR(DATEVALUE(VLOOKUP(B27,'Лист для загрузки вех'!A:L,12,0)),"")</f>
      </c>
      <c r="H27" s="168"/>
      <c r="I27" s="166">
        <f>IF(H27="","",G27-H27)</f>
      </c>
      <c r="J27" s="224">
        <f>IF(H27="","",DATE(YEAR(H27),ROUNDUP(MONTH(H27)/3,0)*3+2,10))</f>
      </c>
      <c r="K27" s="169"/>
      <c r="L27" s="172"/>
      <c r="M27" s="173" cm="1">
        <f t="array" ref="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</c>
      <c r="N27" s="170">
        <f>IFERROR(IF($I27&lt;-100,0,IF(IF(AND($F$1="Да",$F$2=O$5),TRUE,IF(K27="",$G27,K27)&gt;=O$5+60),IF($H27="","",IF(AND(O$1="МП",_xlfn.ISFORMULA(O27)),"Впиши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IF(K27="",1+0.5*O$10,1.5*O$10)))))),"Веха не участвует в расчете выплат за квартал")),"")</f>
      </c>
      <c r="O27" s="171">
        <f>IFERROR(IF(ISTEXT(N27),"",IF(AND(OR(O$1="КУПК",O$1="КУПК (РП/ЗРП)"),N27&gt;0),IF($H27="","",CONCATENATE("Расчёт при NPV = ",TEXT(O$11,"# ##0 ₽"),". Коэф. фин. рез. = ",ROUND(O$10,2))),"")),"")</f>
      </c>
      <c r="P27" s="169"/>
      <c r="Q27" s="172"/>
      <c r="R27" s="173" cm="1">
        <f t="array" ref="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</c>
      <c r="S27" s="170">
        <f>IFERROR(IF($I27&lt;-100,0,IF(IF(AND($F$1="Да",$F$2=T$5),TRUE,IF(P27="",$G27,P27)&gt;=T$5+60),IF($H27="","",IF(AND(T$1="МП",_xlfn.ISFORMULA(T27)),"Впиши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IF(P27="",1+0.5*T$10,1.5*T$10)))))),"Веха не участвует в расчете выплат за квартал")),"")</f>
      </c>
      <c r="T27" s="171">
        <f>IFERROR(IF(ISTEXT(S27),"",IF(AND(OR(T$1="КУПК",T$1="КУПК (РП/ЗРП)"),S27&gt;0),IF($H27="","",CONCATENATE("Расчёт при NPV = ",TEXT(T$11,"# ##0 ₽"),". Коэф. фин. рез. = ",ROUND(T$10,2))),"")),"")</f>
      </c>
    </row>
    <row r="28" spans="1:20" s="164" customFormat="1" ht="43.5" hidden="1" customHeight="1" x14ac:dyDescent="0.25">
      <c r="A28" s="209"/>
      <c r="B28" s="209">
        <f>CONCATENATE(E28," ",F28)</f>
      </c>
      <c r="C28" s="165">
        <v>4</v>
      </c>
      <c r="D28" s="166">
        <f>D27+1</f>
      </c>
      <c r="E28" s="167"/>
      <c r="F28" s="51"/>
      <c r="G28" s="168">
        <f>IFERROR(DATEVALUE(VLOOKUP(B28,'Лист для загрузки вех'!A:L,12,0)),"")</f>
      </c>
      <c r="H28" s="168"/>
      <c r="I28" s="166">
        <f>IF(H28="","",G28-H28)</f>
      </c>
      <c r="J28" s="224">
        <f>IF(H28="","",DATE(YEAR(H28),ROUNDUP(MONTH(H28)/3,0)*3+2,10))</f>
      </c>
      <c r="K28" s="169"/>
      <c r="L28" s="172"/>
      <c r="M28" s="173" cm="1">
        <f t="array" ref="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</c>
      <c r="N28" s="170">
        <f>IFERROR(IF($I28&lt;-100,0,IF(IF(AND($F$1="Да",$F$2=O$5),TRUE,IF(K28="",$G28,K28)&gt;=O$5+60),IF($H28="","",IF(AND(O$1="МП",_xlfn.ISFORMULA(O28)),"Впиши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IF(K28="",1+0.5*O$10,1.5*O$10)))))),"Веха не участвует в расчете выплат за квартал")),"")</f>
      </c>
      <c r="O28" s="171">
        <f>IFERROR(IF(ISTEXT(N28),"",IF(AND(OR(O$1="КУПК",O$1="КУПК (РП/ЗРП)"),N28&gt;0),IF($H28="","",CONCATENATE("Расчёт при NPV = ",TEXT(O$11,"# ##0 ₽"),". Коэф. фин. рез. = ",ROUND(O$10,2))),"")),"")</f>
      </c>
      <c r="P28" s="169"/>
      <c r="Q28" s="172"/>
      <c r="R28" s="173" cm="1">
        <f t="array" ref="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</c>
      <c r="S28" s="170">
        <f>IFERROR(IF($I28&lt;-100,0,IF(IF(AND($F$1="Да",$F$2=T$5),TRUE,IF(P28="",$G28,P28)&gt;=T$5+60),IF($H28="","",IF(AND(T$1="МП",_xlfn.ISFORMULA(T28)),"Впиши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IF(P28="",1+0.5*T$10,1.5*T$10)))))),"Веха не участвует в расчете выплат за квартал")),"")</f>
      </c>
      <c r="T28" s="171">
        <f>IFERROR(IF(ISTEXT(S28),"",IF(AND(OR(T$1="КУПК",T$1="КУПК (РП/ЗРП)"),S28&gt;0),IF($H28="","",CONCATENATE("Расчёт при NPV = ",TEXT(T$11,"# ##0 ₽"),". Коэф. фин. рез. = ",ROUND(T$10,2))),"")),"")</f>
      </c>
    </row>
    <row r="29" spans="1:20" s="164" customFormat="1" ht="43.5" hidden="1" customHeight="1" x14ac:dyDescent="0.25">
      <c r="A29" s="209"/>
      <c r="B29" s="209">
        <f>CONCATENATE(E29," ",F29)</f>
      </c>
      <c r="C29" s="165">
        <v>4</v>
      </c>
      <c r="D29" s="166">
        <f>D28+1</f>
      </c>
      <c r="E29" s="167"/>
      <c r="F29" s="51"/>
      <c r="G29" s="168">
        <f>IFERROR(DATEVALUE(VLOOKUP(B29,'Лист для загрузки вех'!A:L,12,0)),"")</f>
      </c>
      <c r="H29" s="168"/>
      <c r="I29" s="166">
        <f>IF(H29="","",G29-H29)</f>
      </c>
      <c r="J29" s="224">
        <f>IF(H29="","",DATE(YEAR(H29),ROUNDUP(MONTH(H29)/3,0)*3+2,10))</f>
      </c>
      <c r="K29" s="169"/>
      <c r="L29" s="172"/>
      <c r="M29" s="173" cm="1">
        <f t="array" ref="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</c>
      <c r="N29" s="170">
        <f>IFERROR(IF($I29&lt;-100,0,IF(IF(AND($F$1="Да",$F$2=O$5),TRUE,IF(K29="",$G29,K29)&gt;=O$5+60),IF($H29="","",IF(AND(O$1="МП",_xlfn.ISFORMULA(O29)),"Впиши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IF(K29="",1+0.5*O$10,1.5*O$10)))))),"Веха не участвует в расчете выплат за квартал")),"")</f>
      </c>
      <c r="O29" s="171">
        <f>IFERROR(IF(ISTEXT(N29),"",IF(AND(OR(O$1="КУПК",O$1="КУПК (РП/ЗРП)"),N29&gt;0),IF($H29="","",CONCATENATE("Расчёт при NPV = ",TEXT(O$11,"# ##0 ₽"),". Коэф. фин. рез. = ",ROUND(O$10,2))),"")),"")</f>
      </c>
      <c r="P29" s="169"/>
      <c r="Q29" s="172"/>
      <c r="R29" s="173" cm="1">
        <f t="array" ref="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</c>
      <c r="S29" s="170">
        <f>IFERROR(IF($I29&lt;-100,0,IF(IF(AND($F$1="Да",$F$2=T$5),TRUE,IF(P29="",$G29,P29)&gt;=T$5+60),IF($H29="","",IF(AND(T$1="МП",_xlfn.ISFORMULA(T29)),"Впиши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IF(P29="",1+0.5*T$10,1.5*T$10)))))),"Веха не участвует в расчете выплат за квартал")),"")</f>
      </c>
      <c r="T29" s="171">
        <f>IFERROR(IF(ISTEXT(S29),"",IF(AND(OR(T$1="КУПК",T$1="КУПК (РП/ЗРП)"),S29&gt;0),IF($H29="","",CONCATENATE("Расчёт при NPV = ",TEXT(T$11,"# ##0 ₽"),". Коэф. фин. рез. = ",ROUND(T$10,2))),"")),"")</f>
      </c>
    </row>
    <row r="30" spans="1:20" s="164" customFormat="1" ht="43.5" hidden="1" customHeight="1" x14ac:dyDescent="0.25">
      <c r="A30" s="209"/>
      <c r="B30" s="209">
        <f>CONCATENATE(E30," ",F30)</f>
      </c>
      <c r="C30" s="165">
        <v>4</v>
      </c>
      <c r="D30" s="166">
        <f>D29+1</f>
      </c>
      <c r="E30" s="167"/>
      <c r="F30" s="51"/>
      <c r="G30" s="168">
        <f>IFERROR(DATEVALUE(VLOOKUP(B30,'Лист для загрузки вех'!A:L,12,0)),"")</f>
      </c>
      <c r="H30" s="168"/>
      <c r="I30" s="166">
        <f>IF(H30="","",G30-H30)</f>
      </c>
      <c r="J30" s="224">
        <f>IF(H30="","",DATE(YEAR(H30),ROUNDUP(MONTH(H30)/3,0)*3+2,10))</f>
      </c>
      <c r="K30" s="169"/>
      <c r="L30" s="172"/>
      <c r="M30" s="173" cm="1">
        <f t="array" ref="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</c>
      <c r="N30" s="170">
        <f>IFERROR(IF($I30&lt;-100,0,IF(IF(AND($F$1="Да",$F$2=O$5),TRUE,IF(K30="",$G30,K30)&gt;=O$5+60),IF($H30="","",IF(AND(O$1="МП",_xlfn.ISFORMULA(O30)),"Впиши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IF(K30="",1+0.5*O$10,1.5*O$10)))))),"Веха не участвует в расчете выплат за квартал")),"")</f>
      </c>
      <c r="O30" s="171">
        <f>IFERROR(IF(ISTEXT(N30),"",IF(AND(OR(O$1="КУПК",O$1="КУПК (РП/ЗРП)"),N30&gt;0),IF($H30="","",CONCATENATE("Расчёт при NPV = ",TEXT(O$11,"# ##0 ₽"),". Коэф. фин. рез. = ",ROUND(O$10,2))),"")),"")</f>
      </c>
      <c r="P30" s="169"/>
      <c r="Q30" s="172"/>
      <c r="R30" s="173" cm="1">
        <f t="array" ref="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</c>
      <c r="S30" s="170">
        <f>IFERROR(IF($I30&lt;-100,0,IF(IF(AND($F$1="Да",$F$2=T$5),TRUE,IF(P30="",$G30,P30)&gt;=T$5+60),IF($H30="","",IF(AND(T$1="МП",_xlfn.ISFORMULA(T30)),"Впиши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IF(P30="",1+0.5*T$10,1.5*T$10)))))),"Веха не участвует в расчете выплат за квартал")),"")</f>
      </c>
      <c r="T30" s="171">
        <f>IFERROR(IF(ISTEXT(S30),"",IF(AND(OR(T$1="КУПК",T$1="КУПК (РП/ЗРП)"),S30&gt;0),IF($H30="","",CONCATENATE("Расчёт при NPV = ",TEXT(T$11,"# ##0 ₽"),". Коэф. фин. рез. = ",ROUND(T$10,2))),"")),"")</f>
      </c>
    </row>
    <row r="31" spans="1:20" s="164" customFormat="1" ht="43.5" hidden="1" customHeight="1" x14ac:dyDescent="0.25">
      <c r="A31" s="209"/>
      <c r="B31" s="209">
        <f>CONCATENATE(E31," ",F31)</f>
      </c>
      <c r="C31" s="165">
        <v>4</v>
      </c>
      <c r="D31" s="166">
        <f>D30+1</f>
      </c>
      <c r="E31" s="167"/>
      <c r="F31" s="51"/>
      <c r="G31" s="168">
        <f>IFERROR(DATEVALUE(VLOOKUP(B31,'Лист для загрузки вех'!A:L,12,0)),"")</f>
      </c>
      <c r="H31" s="168"/>
      <c r="I31" s="166">
        <f>IF(H31="","",G31-H31)</f>
      </c>
      <c r="J31" s="224">
        <f>IF(H31="","",DATE(YEAR(H31),ROUNDUP(MONTH(H31)/3,0)*3+2,10))</f>
      </c>
      <c r="K31" s="169"/>
      <c r="L31" s="172"/>
      <c r="M31" s="173" cm="1">
        <f t="array" ref="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</c>
      <c r="N31" s="170">
        <f>IFERROR(IF($I31&lt;-100,0,IF(IF(AND($F$1="Да",$F$2=O$5),TRUE,IF(K31="",$G31,K31)&gt;=O$5+60),IF($H31="","",IF(AND(O$1="МП",_xlfn.ISFORMULA(O31)),"Впиши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IF(K31="",1+0.5*O$10,1.5*O$10)))))),"Веха не участвует в расчете выплат за квартал")),"")</f>
      </c>
      <c r="O31" s="171">
        <f>IFERROR(IF(ISTEXT(N31),"",IF(AND(OR(O$1="КУПК",O$1="КУПК (РП/ЗРП)"),N31&gt;0),IF($H31="","",CONCATENATE("Расчёт при NPV = ",TEXT(O$11,"# ##0 ₽"),". Коэф. фин. рез. = ",ROUND(O$10,2))),"")),"")</f>
      </c>
      <c r="P31" s="169"/>
      <c r="Q31" s="172"/>
      <c r="R31" s="173" cm="1">
        <f t="array" ref="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</c>
      <c r="S31" s="170">
        <f>IFERROR(IF($I31&lt;-100,0,IF(IF(AND($F$1="Да",$F$2=T$5),TRUE,IF(P31="",$G31,P31)&gt;=T$5+60),IF($H31="","",IF(AND(T$1="МП",_xlfn.ISFORMULA(T31)),"Впиши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IF(P31="",1+0.5*T$10,1.5*T$10)))))),"Веха не участвует в расчете выплат за квартал")),"")</f>
      </c>
      <c r="T31" s="171">
        <f>IFERROR(IF(ISTEXT(S31),"",IF(AND(OR(T$1="КУПК",T$1="КУПК (РП/ЗРП)"),S31&gt;0),IF($H31="","",CONCATENATE("Расчёт при NPV = ",TEXT(T$11,"# ##0 ₽"),". Коэф. фин. рез. = ",ROUND(T$10,2))),"")),"")</f>
      </c>
    </row>
    <row r="32" spans="1:20" s="164" customFormat="1" ht="43.5" hidden="1" customHeight="1" x14ac:dyDescent="0.25">
      <c r="A32" s="209"/>
      <c r="B32" s="209">
        <f>CONCATENATE(E32," ",F32)</f>
      </c>
      <c r="C32" s="165">
        <v>4</v>
      </c>
      <c r="D32" s="166">
        <f>D31+1</f>
      </c>
      <c r="E32" s="167"/>
      <c r="F32" s="51"/>
      <c r="G32" s="168">
        <f>IFERROR(DATEVALUE(VLOOKUP(B32,'Лист для загрузки вех'!A:L,12,0)),"")</f>
      </c>
      <c r="H32" s="168"/>
      <c r="I32" s="166">
        <f>IF(H32="","",G32-H32)</f>
      </c>
      <c r="J32" s="224">
        <f>IF(H32="","",DATE(YEAR(H32),ROUNDUP(MONTH(H32)/3,0)*3+2,10))</f>
      </c>
      <c r="K32" s="169"/>
      <c r="L32" s="172"/>
      <c r="M32" s="173" cm="1">
        <f t="array" ref="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</c>
      <c r="N32" s="170">
        <f>IFERROR(IF($I32&lt;-100,0,IF(IF(AND($F$1="Да",$F$2=O$5),TRUE,IF(K32="",$G32,K32)&gt;=O$5+60),IF($H32="","",IF(AND(O$1="МП",_xlfn.ISFORMULA(O32)),"Впиши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IF(K32="",1+0.5*O$10,1.5*O$10)))))),"Веха не участвует в расчете выплат за квартал")),"")</f>
      </c>
      <c r="O32" s="171">
        <f>IFERROR(IF(ISTEXT(N32),"",IF(AND(OR(O$1="КУПК",O$1="КУПК (РП/ЗРП)"),N32&gt;0),IF($H32="","",CONCATENATE("Расчёт при NPV = ",TEXT(O$11,"# ##0 ₽"),". Коэф. фин. рез. = ",ROUND(O$10,2))),"")),"")</f>
      </c>
      <c r="P32" s="169"/>
      <c r="Q32" s="172"/>
      <c r="R32" s="173" cm="1">
        <f t="array" ref="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</c>
      <c r="S32" s="170">
        <f>IFERROR(IF($I32&lt;-100,0,IF(IF(AND($F$1="Да",$F$2=T$5),TRUE,IF(P32="",$G32,P32)&gt;=T$5+60),IF($H32="","",IF(AND(T$1="МП",_xlfn.ISFORMULA(T32)),"Впиши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IF(P32="",1+0.5*T$10,1.5*T$10)))))),"Веха не участвует в расчете выплат за квартал")),"")</f>
      </c>
      <c r="T32" s="171">
        <f>IFERROR(IF(ISTEXT(S32),"",IF(AND(OR(T$1="КУПК",T$1="КУПК (РП/ЗРП)"),S32&gt;0),IF($H32="","",CONCATENATE("Расчёт при NPV = ",TEXT(T$11,"# ##0 ₽"),". Коэф. фин. рез. = ",ROUND(T$10,2))),"")),"")</f>
      </c>
    </row>
    <row r="33" spans="1:20" s="164" customFormat="1" ht="43.5" hidden="1" customHeight="1" x14ac:dyDescent="0.25">
      <c r="A33" s="209"/>
      <c r="B33" s="209">
        <f>CONCATENATE(E33," ",F33)</f>
      </c>
      <c r="C33" s="165">
        <v>4</v>
      </c>
      <c r="D33" s="166">
        <f>D32+1</f>
      </c>
      <c r="E33" s="167"/>
      <c r="F33" s="51"/>
      <c r="G33" s="168">
        <f>IFERROR(DATEVALUE(VLOOKUP(B33,'Лист для загрузки вех'!A:L,12,0)),"")</f>
      </c>
      <c r="H33" s="168"/>
      <c r="I33" s="166">
        <f>IF(H33="","",G33-H33)</f>
      </c>
      <c r="J33" s="224">
        <f>IF(H33="","",DATE(YEAR(H33),ROUNDUP(MONTH(H33)/3,0)*3+2,10))</f>
      </c>
      <c r="K33" s="169"/>
      <c r="L33" s="172"/>
      <c r="M33" s="173" cm="1">
        <f t="array" ref="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</c>
      <c r="N33" s="170">
        <f>IFERROR(IF($I33&lt;-100,0,IF(IF(AND($F$1="Да",$F$2=O$5),TRUE,IF(K33="",$G33,K33)&gt;=O$5+60),IF($H33="","",IF(AND(O$1="МП",_xlfn.ISFORMULA(O33)),"Впиши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IF(K33="",1+0.5*O$10,1.5*O$10)))))),"Веха не участвует в расчете выплат за квартал")),"")</f>
      </c>
      <c r="O33" s="171">
        <f>IFERROR(IF(ISTEXT(N33),"",IF(AND(OR(O$1="КУПК",O$1="КУПК (РП/ЗРП)"),N33&gt;0),IF($H33="","",CONCATENATE("Расчёт при NPV = ",TEXT(O$11,"# ##0 ₽"),". Коэф. фин. рез. = ",ROUND(O$10,2))),"")),"")</f>
      </c>
      <c r="P33" s="169"/>
      <c r="Q33" s="172"/>
      <c r="R33" s="173" cm="1">
        <f t="array" ref="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</c>
      <c r="S33" s="170">
        <f>IFERROR(IF($I33&lt;-100,0,IF(IF(AND($F$1="Да",$F$2=T$5),TRUE,IF(P33="",$G33,P33)&gt;=T$5+60),IF($H33="","",IF(AND(T$1="МП",_xlfn.ISFORMULA(T33)),"Впиши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IF(P33="",1+0.5*T$10,1.5*T$10)))))),"Веха не участвует в расчете выплат за квартал")),"")</f>
      </c>
      <c r="T33" s="171">
        <f>IFERROR(IF(ISTEXT(S33),"",IF(AND(OR(T$1="КУПК",T$1="КУПК (РП/ЗРП)"),S33&gt;0),IF($H33="","",CONCATENATE("Расчёт при NPV = ",TEXT(T$11,"# ##0 ₽"),". Коэф. фин. рез. = ",ROUND(T$10,2))),"")),"")</f>
      </c>
    </row>
    <row r="34" spans="1:20" s="164" customFormat="1" ht="43.5" hidden="1" customHeight="1" x14ac:dyDescent="0.25">
      <c r="A34" s="209"/>
      <c r="B34" s="209">
        <f>CONCATENATE(E34," ",F34)</f>
      </c>
      <c r="C34" s="165">
        <v>4</v>
      </c>
      <c r="D34" s="166">
        <f>D33+1</f>
      </c>
      <c r="E34" s="167"/>
      <c r="F34" s="51"/>
      <c r="G34" s="168">
        <f>IFERROR(DATEVALUE(VLOOKUP(B34,'Лист для загрузки вех'!A:L,12,0)),"")</f>
      </c>
      <c r="H34" s="168"/>
      <c r="I34" s="166">
        <f>IF(H34="","",G34-H34)</f>
      </c>
      <c r="J34" s="224">
        <f>IF(H34="","",DATE(YEAR(H34),ROUNDUP(MONTH(H34)/3,0)*3+2,10))</f>
      </c>
      <c r="K34" s="169"/>
      <c r="L34" s="172"/>
      <c r="M34" s="173" cm="1">
        <f t="array" ref="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</c>
      <c r="N34" s="170">
        <f>IFERROR(IF($I34&lt;-100,0,IF(IF(AND($F$1="Да",$F$2=O$5),TRUE,IF(K34="",$G34,K34)&gt;=O$5+60),IF($H34="","",IF(AND(O$1="МП",_xlfn.ISFORMULA(O34)),"Впиши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IF(K34="",1+0.5*O$10,1.5*O$10)))))),"Веха не участвует в расчете выплат за квартал")),"")</f>
      </c>
      <c r="O34" s="171">
        <f>IFERROR(IF(ISTEXT(N34),"",IF(AND(OR(O$1="КУПК",O$1="КУПК (РП/ЗРП)"),N34&gt;0),IF($H34="","",CONCATENATE("Расчёт при NPV = ",TEXT(O$11,"# ##0 ₽"),". Коэф. фин. рез. = ",ROUND(O$10,2))),"")),"")</f>
      </c>
      <c r="P34" s="169"/>
      <c r="Q34" s="172"/>
      <c r="R34" s="173" cm="1">
        <f t="array" ref="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</c>
      <c r="S34" s="170">
        <f>IFERROR(IF($I34&lt;-100,0,IF(IF(AND($F$1="Да",$F$2=T$5),TRUE,IF(P34="",$G34,P34)&gt;=T$5+60),IF($H34="","",IF(AND(T$1="МП",_xlfn.ISFORMULA(T34)),"Впиши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IF(P34="",1+0.5*T$10,1.5*T$10)))))),"Веха не участвует в расчете выплат за квартал")),"")</f>
      </c>
      <c r="T34" s="171">
        <f>IFERROR(IF(ISTEXT(S34),"",IF(AND(OR(T$1="КУПК",T$1="КУПК (РП/ЗРП)"),S34&gt;0),IF($H34="","",CONCATENATE("Расчёт при NPV = ",TEXT(T$11,"# ##0 ₽"),". Коэф. фин. рез. = ",ROUND(T$10,2))),"")),"")</f>
      </c>
    </row>
    <row r="35" spans="1:20" s="174" customFormat="1" ht="43.5" hidden="1" customHeight="1" thickBot="1" x14ac:dyDescent="0.3">
      <c r="A35" s="209"/>
      <c r="B35" s="209">
        <f>CONCATENATE(E35," ",F35)</f>
      </c>
      <c r="C35" s="165">
        <v>4</v>
      </c>
      <c r="D35" s="166">
        <f>D34+1</f>
      </c>
      <c r="E35" s="167"/>
      <c r="F35" s="51"/>
      <c r="G35" s="168">
        <f>IFERROR(DATEVALUE(VLOOKUP(B35,'Лист для загрузки вех'!A:L,12,0)),"")</f>
      </c>
      <c r="H35" s="168"/>
      <c r="I35" s="166">
        <f>IF(H35="","",G35-H35)</f>
      </c>
      <c r="J35" s="224">
        <f>IF(H35="","",DATE(YEAR(H35),ROUNDUP(MONTH(H35)/3,0)*3+2,10))</f>
      </c>
      <c r="K35" s="169"/>
      <c r="L35" s="172"/>
      <c r="M35" s="173" cm="1">
        <f t="array" ref="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</c>
      <c r="N35" s="170">
        <f>IFERROR(IF($I35&lt;-100,0,IF(IF(AND($F$1="Да",$F$2=O$5),TRUE,IF(K35="",$G35,K35)&gt;=O$5+60),IF($H35="","",IF(AND(O$1="МП",_xlfn.ISFORMULA(O35)),"Впиши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IF(K35="",1+0.5*O$10,1.5*O$10)))))),"Веха не участвует в расчете выплат за квартал")),"")</f>
      </c>
      <c r="O35" s="171">
        <f>IFERROR(IF(ISTEXT(N35),"",IF(AND(OR(O$1="КУПК",O$1="КУПК (РП/ЗРП)"),N35&gt;0),IF($H35="","",CONCATENATE("Расчёт при NPV = ",TEXT(O$11,"# ##0 ₽"),". Коэф. фин. рез. = ",ROUND(O$10,2))),"")),"")</f>
      </c>
      <c r="P35" s="169"/>
      <c r="Q35" s="172"/>
      <c r="R35" s="173" cm="1">
        <f t="array" ref="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</c>
      <c r="S35" s="170">
        <f>IFERROR(IF($I35&lt;-100,0,IF(IF(AND($F$1="Да",$F$2=T$5),TRUE,IF(P35="",$G35,P35)&gt;=T$5+60),IF($H35="","",IF(AND(T$1="МП",_xlfn.ISFORMULA(T35)),"Впиши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IF(P35="",1+0.5*T$10,1.5*T$10)))))),"Веха не участвует в расчете выплат за квартал")),"")</f>
      </c>
      <c r="T35" s="171">
        <f>IFERROR(IF(ISTEXT(S35),"",IF(AND(OR(T$1="КУПК",T$1="КУПК (РП/ЗРП)"),S35&gt;0),IF($H35="","",CONCATENATE("Расчёт при NPV = ",TEXT(T$11,"# ##0 ₽"),". Коэф. фин. рез. = ",ROUND(T$10,2))),"")),"")</f>
      </c>
    </row>
    <row r="36" spans="1:20" s="174" customFormat="1" ht="53.25" customHeight="1" thickBot="1" x14ac:dyDescent="0.3">
      <c r="A36" s="209"/>
      <c r="B36" s="209">
        <f>CONCATENATE(E36," ",F36)</f>
      </c>
      <c r="C36" s="215">
        <v>4</v>
      </c>
      <c r="D36" s="216"/>
      <c r="E36" s="217" t="s">
        <v>119</v>
      </c>
      <c r="F36" s="218"/>
      <c r="G36" s="219">
        <f>IFERROR(DATEVALUE(VLOOKUP(B36,'Лист для загрузки вех'!A:L,12,0)),"")</f>
      </c>
      <c r="H36" s="219"/>
      <c r="I36" s="216">
        <f>IF(H36="","",G36-H36)</f>
      </c>
      <c r="J36" s="225">
        <f>IF(H36="","",DATE(YEAR(H36),ROUNDUP(MONTH(H36)/3,0)*3+2,10))</f>
      </c>
      <c r="K36" s="213"/>
      <c r="L36" s="214"/>
      <c r="M36" s="211" t="s">
        <v>88</v>
      </c>
      <c r="N36" s="212">
        <f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</c>
      <c r="O36" s="220">
        <f>IFERROR(IF(ISTEXT(N36),"",IF(AND(OR(O$1="КУПК",O$1="КУПК (РП/ЗРП)"),N36&gt;0),IF($H36="","",CONCATENATE("Расчёт при NPV = ",TEXT(O$11,"# ##0 ₽"),". Коэф. фин. рез. = ",ROUND(O$10,2))),"")),"")</f>
      </c>
      <c r="P36" s="213"/>
      <c r="Q36" s="214"/>
      <c r="R36" s="211" t="s">
        <v>88</v>
      </c>
      <c r="S36" s="212">
        <f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</c>
      <c r="T36" s="220">
        <f>IFERROR(IF(ISTEXT(S36),"",IF(AND(OR(T$1="КУПК",T$1="КУПК (РП/ЗРП)"),S36&gt;0),IF($H36="","",CONCATENATE("Расчёт при NPV = ",TEXT(T$11,"# ##0 ₽"),". Коэф. фин. рез. = ",ROUND(T$10,2))),"")),"")</f>
      </c>
    </row>
    <row r="37" spans="1:20" s="174" customFormat="1" ht="24.75" customHeight="1" x14ac:dyDescent="0.25">
      <c r="A37" s="209"/>
      <c r="B37" s="249">
        <f>CONCATENATE(E37," ",F37)</f>
      </c>
      <c r="C37" s="237"/>
      <c r="D37" s="238"/>
      <c r="E37" s="239" t="s">
        <v>76</v>
      </c>
      <c r="F37" s="239"/>
      <c r="G37" s="238"/>
      <c r="H37" s="240">
        <f>IF(H36="","",H36)</f>
      </c>
      <c r="I37" s="238"/>
      <c r="J37" s="246">
        <f>IF(H37="","",DATE(YEAR(H37),ROUNDUP(MONTH(H37)/3,0)*3+2,10))</f>
      </c>
      <c r="K37" s="241"/>
      <c r="L37" s="242"/>
      <c r="M37" s="243" t="s">
        <v>89</v>
      </c>
      <c r="N37" s="244">
        <f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</c>
      <c r="O37" s="245"/>
      <c r="P37" s="241"/>
      <c r="Q37" s="242"/>
      <c r="R37" s="243" t="s">
        <v>89</v>
      </c>
      <c r="S37" s="244">
        <f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</c>
      <c r="T37" s="245"/>
    </row>
    <row r="38" spans="1:20" s="174" customFormat="1" ht="24.75" customHeight="1" x14ac:dyDescent="0.25">
      <c r="A38" s="209"/>
      <c r="B38" s="249">
        <f>CONCATENATE(E38," ",F38)</f>
      </c>
      <c r="C38" s="178"/>
      <c r="D38" s="179"/>
      <c r="E38" s="180" t="s">
        <v>77</v>
      </c>
      <c r="F38" s="181"/>
      <c r="G38" s="182" t="s">
        <v>11</v>
      </c>
      <c r="H38" s="175">
        <f>IF(H36="","",H36+90)</f>
      </c>
      <c r="I38" s="183"/>
      <c r="J38" s="247">
        <f>IF(H38="","",DATE(YEAR(H38),ROUNDUP(MONTH(H38)/3,0)*3+2,10))</f>
      </c>
      <c r="K38" s="184"/>
      <c r="L38" s="176"/>
      <c r="M38" s="177">
        <f>(IF(OR(O$1="КУПК",O$1="КУПК (РП/ЗРП)"),"К выплате с процентами:",""))</f>
      </c>
      <c r="N38" s="185">
        <f>IF(OR(O$1="МП",O1="РУПК"),"",IF(N$36="","",IF(N$36&lt;0,0,IF(O$38="","Зафиксируй NPV для расчета в комментарии!",IF(O$38&gt;O$37,N$36*25%+VLOOKUP(O$3,'проценты на отложенную часть'!$B$6:$H$37,5,0),"Выплаты приостановлены")))))</f>
      </c>
      <c r="O38" s="186"/>
      <c r="P38" s="184"/>
      <c r="Q38" s="176"/>
      <c r="R38" s="177">
        <f>(IF(OR(T$1="КУПК",T$1="КУПК (РП/ЗРП)"),"К выплате с процентами:",""))</f>
      </c>
      <c r="S38" s="185">
        <f>IF(OR(T$1="МП",T1="РУПК"),"",IF(S$36="","",IF(S$36&lt;0,0,IF(T$38="","Зафиксируй NPV для расчета в комментарии!",IF(T$38&gt;T$37,S$36*25%+VLOOKUP(T$3,'проценты на отложенную часть'!$B$6:$H$37,5,0),"Выплаты приостановлены")))))</f>
      </c>
      <c r="T38" s="186"/>
    </row>
    <row r="39" spans="1:20" s="164" customFormat="1" ht="24.75" customHeight="1" thickBot="1" x14ac:dyDescent="0.3">
      <c r="A39" s="209"/>
      <c r="B39" s="249">
        <f>CONCATENATE(E39," ",F39)</f>
      </c>
      <c r="C39" s="187"/>
      <c r="D39" s="188"/>
      <c r="E39" s="189" t="s">
        <v>87</v>
      </c>
      <c r="F39" s="190"/>
      <c r="G39" s="191" t="s">
        <v>12</v>
      </c>
      <c r="H39" s="192">
        <f>IF(H36="","",H38+90)</f>
      </c>
      <c r="I39" s="188"/>
      <c r="J39" s="248">
        <f>IF(H39="","",DATE(YEAR(H39),ROUNDUP(MONTH(H39)/3,0)*3+2,10))</f>
      </c>
      <c r="K39" s="193"/>
      <c r="L39" s="194"/>
      <c r="M39" s="195">
        <f>(IF(OR(O$1="КУПК",O$1="КУПК (РП/ЗРП)"),"К выплате с процентами:",""))</f>
      </c>
      <c r="N39" s="196">
        <f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NPV"),IF(O$39&gt;O$37,N$36*25%+VLOOKUP(O$3,'проценты на отложенную часть'!$B$6:$H$37,6,0),"Выплаты приостановлены"))))))</f>
      </c>
      <c r="O39" s="197"/>
      <c r="P39" s="193"/>
      <c r="Q39" s="194"/>
      <c r="R39" s="195">
        <f>(IF(OR(T$1="КУПК",T$1="КУПК (РП/ЗРП)"),"К выплате с процентами:",""))</f>
      </c>
      <c r="S39" s="196">
        <f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NPV"),IF(T$39&gt;T$37,S$36*25%+VLOOKUP(T$3,'проценты на отложенную часть'!$B$6:$H$37,6,0),"Выплаты приостановлены"))))))</f>
      </c>
      <c r="T39" s="197"/>
    </row>
    <row r="40" spans="1:20" s="140" customFormat="1" x14ac:dyDescent="0.2">
      <c r="B40" s="149"/>
      <c r="C40" s="143"/>
      <c r="D40" s="198"/>
      <c r="E40" s="143"/>
      <c r="F40" s="143"/>
      <c r="G40" s="143"/>
      <c r="H40" s="143"/>
      <c r="I40" s="143"/>
      <c r="J40" s="143"/>
      <c r="K40" s="199"/>
      <c r="L40" s="199"/>
      <c r="M40" s="199"/>
      <c r="N40" s="200"/>
      <c r="O40" s="200"/>
      <c r="P40" s="199"/>
      <c r="Q40" s="199"/>
      <c r="R40" s="199"/>
      <c r="S40" s="200"/>
      <c r="T40" s="200"/>
    </row>
    <row r="41" spans="1:20" s="140" customFormat="1" ht="25.5" x14ac:dyDescent="0.2">
      <c r="B41" s="149"/>
      <c r="C41" s="143"/>
      <c r="D41" s="198"/>
      <c r="E41" s="210" t="s">
        <v>101</v>
      </c>
      <c r="F41" s="143"/>
      <c r="G41" s="143"/>
      <c r="H41" s="143"/>
      <c r="I41" s="143"/>
      <c r="J41" s="143"/>
      <c r="K41" s="199"/>
      <c r="L41" s="199"/>
      <c r="M41" s="174"/>
      <c r="N41" s="200"/>
      <c r="O41" s="202"/>
      <c r="P41" s="199"/>
      <c r="Q41" s="199"/>
      <c r="R41" s="174"/>
      <c r="S41" s="200"/>
      <c r="T41" s="202"/>
    </row>
    <row r="42" spans="1:20" s="140" customFormat="1" hidden="1" x14ac:dyDescent="0.2">
      <c r="B42" s="149"/>
      <c r="C42" s="143"/>
      <c r="D42" s="198"/>
      <c r="E42" s="203"/>
      <c r="F42" s="143"/>
      <c r="G42" s="143"/>
      <c r="H42" s="143"/>
      <c r="I42" s="143"/>
      <c r="J42" s="143"/>
      <c r="K42" s="199"/>
      <c r="L42" s="199"/>
      <c r="M42" s="199"/>
      <c r="N42" s="200"/>
      <c r="O42" s="200"/>
      <c r="P42" s="199"/>
      <c r="Q42" s="199"/>
      <c r="R42" s="199"/>
      <c r="S42" s="200"/>
      <c r="T42" s="200"/>
    </row>
    <row r="43" spans="1:20" hidden="1" x14ac:dyDescent="0.2"/>
    <row r="44" spans="7:20" ht="15" x14ac:dyDescent="0.2">
      <c r="K44" s="252" t="s">
        <v>93</v>
      </c>
      <c r="L44" s="252" t="s">
        <v>94</v>
      </c>
      <c r="M44" s="252" t="s">
        <v>95</v>
      </c>
      <c r="N44" s="252" t="s">
        <v>96</v>
      </c>
      <c r="O44" s="252" t="s">
        <v>97</v>
      </c>
      <c r="P44" s="252" t="s">
        <v>93</v>
      </c>
      <c r="Q44" s="252" t="s">
        <v>94</v>
      </c>
      <c r="R44" s="252" t="s">
        <v>95</v>
      </c>
      <c r="S44" s="252" t="s">
        <v>96</v>
      </c>
      <c r="T44" s="252" t="s">
        <v>97</v>
      </c>
    </row>
    <row r="45" spans="7:20" ht="15" x14ac:dyDescent="0.25">
      <c r="K45" s="228"/>
      <c r="L45" s="228"/>
      <c r="M45" s="229"/>
      <c r="N45" s="230"/>
      <c r="O45" s="230">
        <f>N45/365*(L45-K45+1)*M45</f>
      </c>
      <c r="P45" s="228"/>
      <c r="Q45" s="228"/>
      <c r="R45" s="229"/>
      <c r="S45" s="230"/>
      <c r="T45" s="230">
        <f>S45/365*(Q45-P45+1)*R45</f>
      </c>
    </row>
    <row r="46" spans="7:20" ht="15" x14ac:dyDescent="0.25">
      <c r="G46" s="257"/>
      <c r="H46" s="257"/>
      <c r="K46" s="228"/>
      <c r="L46" s="228"/>
      <c r="M46" s="229"/>
      <c r="N46" s="230"/>
      <c r="O46" s="230">
        <f>N46/365*(L46-K46+1)*M46</f>
      </c>
      <c r="P46" s="228"/>
      <c r="Q46" s="228"/>
      <c r="R46" s="229"/>
      <c r="S46" s="230"/>
      <c r="T46" s="230"/>
    </row>
    <row r="47" spans="7:20" ht="15" x14ac:dyDescent="0.25">
      <c r="G47" s="257"/>
      <c r="H47" s="257"/>
      <c r="K47" s="228"/>
      <c r="L47" s="228"/>
      <c r="M47" s="229"/>
      <c r="N47" s="230"/>
      <c r="O47" s="230">
        <f>N47/365*(L47-K47+1)*M47</f>
      </c>
      <c r="P47" s="228"/>
      <c r="Q47" s="228"/>
      <c r="R47" s="229"/>
      <c r="S47" s="230"/>
      <c r="T47" s="230"/>
    </row>
    <row r="48" spans="7:20" ht="15" x14ac:dyDescent="0.25">
      <c r="G48" s="257"/>
      <c r="H48" s="257"/>
      <c r="K48" s="228"/>
      <c r="L48" s="228"/>
      <c r="M48" s="229"/>
      <c r="N48" s="230"/>
      <c r="O48" s="230">
        <f>N48/365*(L48-K48+1)*M48</f>
      </c>
      <c r="P48" s="228"/>
      <c r="Q48" s="228"/>
      <c r="R48" s="229"/>
      <c r="S48" s="230"/>
      <c r="T48" s="230"/>
    </row>
    <row r="49" spans="7:20" ht="15" x14ac:dyDescent="0.25">
      <c r="G49" s="257"/>
      <c r="H49" s="257"/>
      <c r="K49" s="228"/>
      <c r="L49" s="228"/>
      <c r="M49" s="229"/>
      <c r="N49" s="230"/>
      <c r="O49" s="230"/>
      <c r="P49" s="228"/>
      <c r="Q49" s="228"/>
      <c r="R49" s="229"/>
      <c r="S49" s="230"/>
      <c r="T49" s="230"/>
    </row>
    <row r="50" spans="7:20" ht="15" x14ac:dyDescent="0.25">
      <c r="K50" s="228"/>
      <c r="L50" s="228"/>
      <c r="M50" s="229"/>
      <c r="N50" s="230"/>
      <c r="O50" s="230"/>
      <c r="P50" s="228"/>
      <c r="Q50" s="228"/>
      <c r="R50" s="229"/>
      <c r="S50" s="230"/>
      <c r="T50" s="230"/>
    </row>
    <row r="51" spans="7:20" ht="15" x14ac:dyDescent="0.25">
      <c r="K51" s="228"/>
      <c r="L51" s="228"/>
      <c r="M51" s="229"/>
      <c r="N51" s="230"/>
      <c r="O51" s="230"/>
      <c r="P51" s="228"/>
      <c r="Q51" s="228"/>
      <c r="R51" s="229"/>
      <c r="S51" s="230"/>
      <c r="T51" s="230"/>
    </row>
    <row r="52" spans="7:20" ht="15" x14ac:dyDescent="0.25">
      <c r="K52" s="228"/>
      <c r="L52" s="228"/>
      <c r="M52" s="229"/>
      <c r="N52" s="230"/>
      <c r="O52" s="230"/>
      <c r="P52" s="228"/>
      <c r="Q52" s="228"/>
      <c r="R52" s="229"/>
      <c r="S52" s="230"/>
      <c r="T52" s="230"/>
    </row>
    <row r="53" spans="7:20" ht="15" x14ac:dyDescent="0.25">
      <c r="K53" s="228"/>
      <c r="L53" s="228"/>
      <c r="M53" s="229"/>
      <c r="N53" s="230"/>
      <c r="O53" s="230"/>
      <c r="P53" s="228"/>
      <c r="Q53" s="228"/>
      <c r="R53" s="229"/>
      <c r="S53" s="230"/>
      <c r="T53" s="230"/>
    </row>
    <row r="54" spans="7:20" ht="15" x14ac:dyDescent="0.25">
      <c r="K54" s="228"/>
      <c r="L54" s="228"/>
      <c r="M54" s="229"/>
      <c r="N54" s="230"/>
      <c r="O54" s="230"/>
      <c r="P54" s="228"/>
      <c r="Q54" s="228"/>
      <c r="R54" s="229"/>
      <c r="S54" s="230"/>
      <c r="T54" s="230"/>
    </row>
    <row r="55" spans="11:20" ht="15" x14ac:dyDescent="0.25">
      <c r="K55" s="228"/>
      <c r="L55" s="228"/>
      <c r="M55" s="229"/>
      <c r="N55" s="230"/>
      <c r="O55" s="230"/>
      <c r="P55" s="228"/>
      <c r="Q55" s="228"/>
      <c r="R55" s="229"/>
      <c r="S55" s="230"/>
      <c r="T55" s="230"/>
    </row>
    <row r="56" spans="11:20" ht="15" x14ac:dyDescent="0.25">
      <c r="K56" s="228"/>
      <c r="L56" s="228"/>
      <c r="M56" s="229"/>
      <c r="N56" s="230"/>
      <c r="O56" s="230"/>
      <c r="P56" s="228"/>
      <c r="Q56" s="228"/>
      <c r="R56" s="229"/>
      <c r="S56" s="230"/>
      <c r="T56" s="230"/>
    </row>
    <row r="57" spans="11:20" ht="15" x14ac:dyDescent="0.25">
      <c r="K57" s="228"/>
      <c r="L57" s="228"/>
      <c r="M57" s="229"/>
      <c r="N57" s="230"/>
      <c r="O57" s="230"/>
      <c r="P57" s="228"/>
      <c r="Q57" s="228"/>
      <c r="R57" s="229"/>
      <c r="S57" s="230"/>
      <c r="T57" s="230"/>
    </row>
    <row r="58" spans="11:20" ht="15" x14ac:dyDescent="0.25">
      <c r="K58" s="228"/>
      <c r="L58" s="228"/>
      <c r="M58" s="229"/>
      <c r="N58" s="230"/>
      <c r="O58" s="230"/>
      <c r="P58" s="228"/>
      <c r="Q58" s="228"/>
      <c r="R58" s="229"/>
      <c r="S58" s="230"/>
      <c r="T58" s="230"/>
    </row>
    <row r="59" spans="11:20" ht="15" x14ac:dyDescent="0.25">
      <c r="K59" s="228"/>
      <c r="L59" s="228"/>
      <c r="M59" s="229"/>
      <c r="N59" s="230"/>
      <c r="O59" s="230"/>
      <c r="P59" s="228"/>
      <c r="Q59" s="228"/>
      <c r="R59" s="229"/>
      <c r="S59" s="230"/>
      <c r="T59" s="230"/>
    </row>
    <row r="60" spans="11:20" ht="15" x14ac:dyDescent="0.25">
      <c r="K60" s="228"/>
      <c r="L60" s="228"/>
      <c r="M60" s="229"/>
      <c r="N60" s="230"/>
      <c r="O60" s="230"/>
      <c r="P60" s="228"/>
      <c r="Q60" s="228"/>
      <c r="R60" s="229"/>
      <c r="S60" s="230"/>
      <c r="T60" s="230"/>
    </row>
    <row r="61" spans="11:20" ht="15" x14ac:dyDescent="0.25">
      <c r="K61" s="228"/>
      <c r="L61" s="228"/>
      <c r="M61" s="229"/>
      <c r="N61" s="230"/>
      <c r="O61" s="230"/>
      <c r="P61" s="228"/>
      <c r="Q61" s="228"/>
      <c r="R61" s="229"/>
      <c r="S61" s="230"/>
      <c r="T61" s="230"/>
    </row>
    <row r="62" spans="11:20" ht="15" x14ac:dyDescent="0.25">
      <c r="K62" s="228"/>
      <c r="L62" s="228"/>
      <c r="M62" s="229"/>
      <c r="N62" s="230"/>
      <c r="O62" s="230"/>
      <c r="P62" s="228"/>
      <c r="Q62" s="228"/>
      <c r="R62" s="229"/>
      <c r="S62" s="230"/>
      <c r="T62" s="230"/>
    </row>
    <row r="63" spans="11:20" ht="15" x14ac:dyDescent="0.25">
      <c r="K63" s="228"/>
      <c r="L63" s="228"/>
      <c r="M63" s="229"/>
      <c r="N63" s="230"/>
      <c r="O63" s="230"/>
      <c r="P63" s="228"/>
      <c r="Q63" s="228"/>
      <c r="R63" s="229"/>
      <c r="S63" s="230"/>
      <c r="T63" s="230"/>
    </row>
    <row r="64" spans="11:20" ht="15" x14ac:dyDescent="0.25">
      <c r="K64" s="228"/>
      <c r="L64" s="228"/>
      <c r="M64" s="229"/>
      <c r="N64" s="230"/>
      <c r="O64" s="230"/>
      <c r="P64" s="228"/>
      <c r="Q64" s="228"/>
      <c r="R64" s="229"/>
      <c r="S64" s="230"/>
      <c r="T64" s="230"/>
    </row>
    <row r="65" spans="11:20" ht="15" x14ac:dyDescent="0.25">
      <c r="K65" s="228"/>
      <c r="L65" s="228"/>
      <c r="M65" s="229"/>
      <c r="N65" s="230"/>
      <c r="O65" s="230"/>
      <c r="P65" s="228"/>
      <c r="Q65" s="228"/>
      <c r="R65" s="229"/>
      <c r="S65" s="230"/>
      <c r="T65" s="230"/>
    </row>
    <row r="66" spans="11:20" ht="15" x14ac:dyDescent="0.25">
      <c r="K66" s="228"/>
      <c r="L66" s="228"/>
      <c r="M66" s="229"/>
      <c r="N66" s="230"/>
      <c r="O66" s="230"/>
      <c r="P66" s="228"/>
      <c r="Q66" s="228"/>
      <c r="R66" s="229"/>
      <c r="S66" s="230"/>
      <c r="T66" s="230"/>
    </row>
    <row r="67" spans="11:20" ht="15" x14ac:dyDescent="0.25">
      <c r="K67" s="228"/>
      <c r="L67" s="228"/>
      <c r="M67" s="229"/>
      <c r="N67" s="230"/>
      <c r="O67" s="230"/>
      <c r="P67" s="228"/>
      <c r="Q67" s="228"/>
      <c r="R67" s="229"/>
      <c r="S67" s="230"/>
      <c r="T67" s="230"/>
    </row>
    <row r="68" spans="11:20" ht="15" x14ac:dyDescent="0.25">
      <c r="K68" s="228"/>
      <c r="L68" s="228"/>
      <c r="M68" s="229"/>
      <c r="N68" s="230"/>
      <c r="O68" s="230"/>
      <c r="P68" s="228"/>
      <c r="Q68" s="228"/>
      <c r="R68" s="229"/>
      <c r="S68" s="230"/>
      <c r="T68" s="230"/>
    </row>
    <row r="69" spans="11:20" ht="15" x14ac:dyDescent="0.25">
      <c r="K69" s="228"/>
      <c r="L69" s="228"/>
      <c r="M69" s="229"/>
      <c r="N69" s="230"/>
      <c r="O69" s="230"/>
      <c r="P69" s="228"/>
      <c r="Q69" s="228"/>
      <c r="R69" s="229"/>
      <c r="S69" s="230"/>
      <c r="T69" s="230"/>
    </row>
    <row r="70" spans="11:20" ht="15" x14ac:dyDescent="0.25">
      <c r="K70" s="228"/>
      <c r="L70" s="228"/>
      <c r="M70" s="229"/>
      <c r="N70" s="230"/>
      <c r="O70" s="230"/>
      <c r="P70" s="228"/>
      <c r="Q70" s="228"/>
      <c r="R70" s="229"/>
      <c r="S70" s="230"/>
      <c r="T70" s="230"/>
    </row>
    <row r="71" spans="11:20" ht="15" x14ac:dyDescent="0.25">
      <c r="K71" s="228"/>
      <c r="L71" s="228"/>
      <c r="M71" s="229"/>
      <c r="N71" s="230"/>
      <c r="O71" s="230"/>
      <c r="P71" s="228"/>
      <c r="Q71" s="228"/>
      <c r="R71" s="229"/>
      <c r="S71" s="230"/>
      <c r="T71" s="230"/>
    </row>
    <row r="72" spans="11:20" ht="15" x14ac:dyDescent="0.25">
      <c r="K72" s="228"/>
      <c r="L72" s="228"/>
      <c r="M72" s="229"/>
      <c r="N72" s="230"/>
      <c r="O72" s="230"/>
      <c r="P72" s="228"/>
      <c r="Q72" s="228"/>
      <c r="R72" s="229"/>
      <c r="S72" s="230"/>
      <c r="T72" s="230"/>
    </row>
    <row r="73" spans="11:20" ht="15" x14ac:dyDescent="0.25">
      <c r="K73" s="228"/>
      <c r="L73" s="228"/>
      <c r="M73" s="229"/>
      <c r="N73" s="230"/>
      <c r="O73" s="230"/>
      <c r="P73" s="228"/>
      <c r="Q73" s="228"/>
      <c r="R73" s="229"/>
      <c r="S73" s="230"/>
      <c r="T73" s="230"/>
    </row>
    <row r="74" spans="11:20" ht="15" x14ac:dyDescent="0.25">
      <c r="K74" s="228"/>
      <c r="L74" s="228"/>
      <c r="M74" s="229"/>
      <c r="N74" s="230"/>
      <c r="O74" s="230"/>
      <c r="P74" s="228"/>
      <c r="Q74" s="228"/>
      <c r="R74" s="229"/>
      <c r="S74" s="230"/>
      <c r="T74" s="230"/>
    </row>
    <row r="75" spans="11:20" ht="15" x14ac:dyDescent="0.25">
      <c r="K75" s="228"/>
      <c r="L75" s="228"/>
      <c r="M75" s="229"/>
      <c r="N75" s="230"/>
      <c r="O75" s="230"/>
      <c r="P75" s="228"/>
      <c r="Q75" s="228"/>
      <c r="R75" s="229"/>
      <c r="S75" s="230"/>
      <c r="T75" s="230"/>
    </row>
    <row r="76" spans="11:20" ht="15" x14ac:dyDescent="0.25">
      <c r="K76" s="228"/>
      <c r="L76" s="228"/>
      <c r="M76" s="229"/>
      <c r="N76" s="230"/>
      <c r="O76" s="230"/>
      <c r="P76" s="228"/>
      <c r="Q76" s="228"/>
      <c r="R76" s="229"/>
      <c r="S76" s="230"/>
      <c r="T76" s="230"/>
    </row>
    <row r="77" spans="11:20" ht="15" x14ac:dyDescent="0.25">
      <c r="K77" s="228"/>
      <c r="L77" s="228"/>
      <c r="M77" s="229"/>
      <c r="N77" s="230"/>
      <c r="O77" s="230"/>
      <c r="P77" s="228"/>
      <c r="Q77" s="228"/>
      <c r="R77" s="229"/>
      <c r="S77" s="230"/>
      <c r="T77" s="230"/>
    </row>
    <row r="78" spans="11:20" ht="15" x14ac:dyDescent="0.25">
      <c r="K78" s="228"/>
      <c r="L78" s="228"/>
      <c r="M78" s="229"/>
      <c r="N78" s="230"/>
      <c r="O78" s="230"/>
      <c r="P78" s="228"/>
      <c r="Q78" s="228"/>
      <c r="R78" s="229"/>
      <c r="S78" s="230"/>
      <c r="T78" s="230"/>
    </row>
    <row r="79" spans="11:20" ht="15" x14ac:dyDescent="0.25">
      <c r="K79" s="228"/>
      <c r="L79" s="228"/>
      <c r="M79" s="229"/>
      <c r="N79" s="230"/>
      <c r="O79" s="230"/>
      <c r="P79" s="228"/>
      <c r="Q79" s="228"/>
      <c r="R79" s="229"/>
      <c r="S79" s="230"/>
      <c r="T79" s="230"/>
    </row>
  </sheetData>
  <mergeCells count="26">
    <mergeCell ref="P12:S12"/>
    <mergeCell ref="P13:S13"/>
    <mergeCell ref="P14:S14"/>
    <mergeCell ref="P7:S7"/>
    <mergeCell ref="P8:S8"/>
    <mergeCell ref="P9:S9"/>
    <mergeCell ref="P10:S10"/>
    <mergeCell ref="P11:S11"/>
    <mergeCell ref="P1:S2"/>
    <mergeCell ref="P3:S3"/>
    <mergeCell ref="P4:S4"/>
    <mergeCell ref="P5:S5"/>
    <mergeCell ref="P6:S6"/>
    <mergeCell ref="K13:N13"/>
    <mergeCell ref="K14:N14"/>
    <mergeCell ref="K5:N5"/>
    <mergeCell ref="K6:N6"/>
    <mergeCell ref="K7:N7"/>
    <mergeCell ref="K8:N8"/>
    <mergeCell ref="K9:N9"/>
    <mergeCell ref="K12:N12"/>
    <mergeCell ref="K1:N2"/>
    <mergeCell ref="K3:N3"/>
    <mergeCell ref="K4:N4"/>
    <mergeCell ref="K10:N10"/>
    <mergeCell ref="K11:N11"/>
  </mergeCells>
  <conditionalFormatting sqref="A40:A42 A13:A14 A52:A1048576 A1:A11">
    <cfRule type="containsText" dxfId="138" priority="18731" operator="containsText" text="флаг">
      <formula>NOT(ISERROR(SEARCH("флаг",A1)))</formula>
    </cfRule>
  </conditionalFormatting>
  <conditionalFormatting sqref="K1:O3 N37:O39 O13 K4:N4 K5:O10 K36:L39 K41:L41 K14:O14 N41:O41 K40:O40 K42:O43 K90:O1048576 O36">
    <cfRule type="containsText" dxfId="137" priority="4548" operator="containsText" text="Зафиксируй NPV для расчета в комментарии!">
      <formula>NOT(ISERROR(SEARCH("Зафиксируй NPV для расчета в комментарии!",K1)))</formula>
    </cfRule>
    <cfRule type="containsText" dxfId="136" priority="4549" operator="containsText" text="Веха не участвует в расчете выплат за квартал">
      <formula>NOT(ISERROR(SEARCH("Веха не участвует в расчете выплат за квартал",K1)))</formula>
    </cfRule>
  </conditionalFormatting>
  <conditionalFormatting sqref="K1:O3 N37:O39 O13 K4:N4 K5:O10 K36:L39 K41:L41 K14:O14 N41:O41 K40:O40 K42:O43 K90:O1048576 O36">
    <cfRule type="containsText" dxfId="135" priority="4547" operator="containsText" text="Принять решение о перерасчете выплаченной части при падении NPV">
      <formula>NOT(ISERROR(SEARCH("Принять решение о перерасчете выплаченной части при падении NPV",K1)))</formula>
    </cfRule>
  </conditionalFormatting>
  <conditionalFormatting sqref="A43:A51">
    <cfRule type="containsText" dxfId="134" priority="4503" operator="containsText" text="флаг">
      <formula>NOT(ISERROR(SEARCH("флаг",A43)))</formula>
    </cfRule>
  </conditionalFormatting>
  <conditionalFormatting sqref="M36:M39">
    <cfRule type="containsText" dxfId="133" priority="4120" operator="containsText" text="Зафиксируй NPV для расчета в комментарии!">
      <formula>NOT(ISERROR(SEARCH("Зафиксируй NPV для расчета в комментарии!",M36)))</formula>
    </cfRule>
    <cfRule type="containsText" dxfId="132" priority="4121" operator="containsText" text="Веха не участвует в расчете выплат за квартал">
      <formula>NOT(ISERROR(SEARCH("Веха не участвует в расчете выплат за квартал",M36)))</formula>
    </cfRule>
  </conditionalFormatting>
  <conditionalFormatting sqref="M36:M39">
    <cfRule type="containsText" dxfId="131" priority="4119" operator="containsText" text="Принять решение о перерасчете выплаченной части при падении NPV">
      <formula>NOT(ISERROR(SEARCH("Принять решение о перерасчете выплаченной части при падении NPV",M36)))</formula>
    </cfRule>
  </conditionalFormatting>
  <conditionalFormatting sqref="A12">
    <cfRule type="containsText" dxfId="130" priority="3998" operator="containsText" text="флаг">
      <formula>NOT(ISERROR(SEARCH("флаг",A12)))</formula>
    </cfRule>
  </conditionalFormatting>
  <conditionalFormatting sqref="O12">
    <cfRule type="containsText" dxfId="129" priority="3996" operator="containsText" text="Зафиксируй NPV для расчета в комментарии!">
      <formula>NOT(ISERROR(SEARCH("Зафиксируй NPV для расчета в комментарии!",O12)))</formula>
    </cfRule>
    <cfRule type="containsText" dxfId="128" priority="3997" operator="containsText" text="Веха не участвует в расчете выплат за квартал">
      <formula>NOT(ISERROR(SEARCH("Веха не участвует в расчете выплат за квартал",O12)))</formula>
    </cfRule>
  </conditionalFormatting>
  <conditionalFormatting sqref="O12">
    <cfRule type="containsText" dxfId="127" priority="3995" operator="containsText" text="Принять решение о перерасчете выплаченной части при падении NPV">
      <formula>NOT(ISERROR(SEARCH("Принять решение о перерасчете выплаченной части при падении NPV",O12)))</formula>
    </cfRule>
  </conditionalFormatting>
  <conditionalFormatting sqref="K13:L13">
    <cfRule type="containsText" dxfId="126" priority="3333" operator="containsText" text="Зафиксируй NPV для расчета в комментарии!">
      <formula>NOT(ISERROR(SEARCH("Зафиксируй NPV для расчета в комментарии!",K13)))</formula>
    </cfRule>
    <cfRule type="containsText" dxfId="125" priority="3334" operator="containsText" text="Веха не участвует в расчете выплат за квартал">
      <formula>NOT(ISERROR(SEARCH("Веха не участвует в расчете выплат за квартал",K13)))</formula>
    </cfRule>
  </conditionalFormatting>
  <conditionalFormatting sqref="K13:L13">
    <cfRule type="containsText" dxfId="124" priority="3332" operator="containsText" text="Принять решение о перерасчете выплаченной части при падении NPV">
      <formula>NOT(ISERROR(SEARCH("Принять решение о перерасчете выплаченной части при падении NPV",K13)))</formula>
    </cfRule>
  </conditionalFormatting>
  <conditionalFormatting sqref="N36">
    <cfRule type="containsText" dxfId="123" priority="3159" operator="containsText" text="Зафиксируй NPV для расчета в комментарии!">
      <formula>NOT(ISERROR(SEARCH("Зафиксируй NPV для расчета в комментарии!",N36)))</formula>
    </cfRule>
    <cfRule type="containsText" dxfId="122" priority="3160" operator="containsText" text="Веха не участвует в расчете выплат за квартал">
      <formula>NOT(ISERROR(SEARCH("Веха не участвует в расчете выплат за квартал",N36)))</formula>
    </cfRule>
  </conditionalFormatting>
  <conditionalFormatting sqref="N36">
    <cfRule type="containsText" dxfId="121" priority="3158" operator="containsText" text="Принять решение о перерасчете выплаченной части при падении NPV">
      <formula>NOT(ISERROR(SEARCH("Принять решение о перерасчете выплаченной части при падении NPV",N36)))</formula>
    </cfRule>
  </conditionalFormatting>
  <conditionalFormatting sqref="O4">
    <cfRule type="containsText" dxfId="120" priority="2550" operator="containsText" text="Зафиксируй NPV для расчета в комментарии!">
      <formula>NOT(ISERROR(SEARCH("Зафиксируй NPV для расчета в комментарии!",O4)))</formula>
    </cfRule>
    <cfRule type="containsText" dxfId="119" priority="2551" operator="containsText" text="Веха не участвует в расчете выплат за квартал">
      <formula>NOT(ISERROR(SEARCH("Веха не участвует в расчете выплат за квартал",O4)))</formula>
    </cfRule>
  </conditionalFormatting>
  <conditionalFormatting sqref="O4">
    <cfRule type="containsText" dxfId="118" priority="2549" operator="containsText" text="Принять решение о перерасчете выплаченной части при падении NPV">
      <formula>NOT(ISERROR(SEARCH("Принять решение о перерасчете выплаченной части при падении NPV",O4)))</formula>
    </cfRule>
  </conditionalFormatting>
  <conditionalFormatting sqref="O15 K15">
    <cfRule type="containsText" dxfId="117" priority="2238" operator="containsText" text="Зафиксируй NPV для расчета в комментарии!">
      <formula>NOT(ISERROR(SEARCH("Зафиксируй NPV для расчета в комментарии!",K15)))</formula>
    </cfRule>
    <cfRule type="containsText" dxfId="116" priority="2239" operator="containsText" text="Веха не участвует в расчете выплат за квартал">
      <formula>NOT(ISERROR(SEARCH("Веха не участвует в расчете выплат за квартал",K15)))</formula>
    </cfRule>
  </conditionalFormatting>
  <conditionalFormatting sqref="O15 K15">
    <cfRule type="containsText" dxfId="115" priority="2237" operator="containsText" text="Принять решение о перерасчете выплаченной части при падении NPV">
      <formula>NOT(ISERROR(SEARCH("Принять решение о перерасчете выплаченной части при падении NPV",K15)))</formula>
    </cfRule>
  </conditionalFormatting>
  <conditionalFormatting sqref="N15">
    <cfRule type="containsText" dxfId="114" priority="2235" operator="containsText" text="Зафиксируй NPV для расчета в комментарии!">
      <formula>NOT(ISERROR(SEARCH("Зафиксируй NPV для расчета в комментарии!",N15)))</formula>
    </cfRule>
    <cfRule type="containsText" dxfId="113" priority="2236" operator="containsText" text="Веха не участвует в расчете выплат за квартал">
      <formula>NOT(ISERROR(SEARCH("Веха не участвует в расчете выплат за квартал",N15)))</formula>
    </cfRule>
  </conditionalFormatting>
  <conditionalFormatting sqref="N15">
    <cfRule type="containsText" dxfId="112" priority="2234" operator="containsText" text="Принять решение о перерасчете выплаченной части при падении NPV">
      <formula>NOT(ISERROR(SEARCH("Принять решение о перерасчете выплаченной части при падении NPV",N15)))</formula>
    </cfRule>
  </conditionalFormatting>
  <conditionalFormatting sqref="M15">
    <cfRule type="containsText" dxfId="111" priority="2232" operator="containsText" text="Зафиксируй NPV для расчета в комментарии!">
      <formula>NOT(ISERROR(SEARCH("Зафиксируй NPV для расчета в комментарии!",M15)))</formula>
    </cfRule>
    <cfRule type="containsText" dxfId="110" priority="2233" operator="containsText" text="Веха не участвует в расчете выплат за квартал">
      <formula>NOT(ISERROR(SEARCH("Веха не участвует в расчете выплат за квартал",M15)))</formula>
    </cfRule>
  </conditionalFormatting>
  <conditionalFormatting sqref="M15">
    <cfRule type="containsText" dxfId="109" priority="2231" operator="containsText" text="Принять решение о перерасчете выплаченной части при падении NPV">
      <formula>NOT(ISERROR(SEARCH("Принять решение о перерасчете выплаченной части при падении NPV",M15)))</formula>
    </cfRule>
  </conditionalFormatting>
  <conditionalFormatting sqref="L15">
    <cfRule type="containsText" dxfId="108" priority="2229" operator="containsText" text="Зафиксируй NPV для расчета в комментарии!">
      <formula>NOT(ISERROR(SEARCH("Зафиксируй NPV для расчета в комментарии!",L15)))</formula>
    </cfRule>
    <cfRule type="containsText" dxfId="107" priority="2230" operator="containsText" text="Веха не участвует в расчете выплат за квартал">
      <formula>NOT(ISERROR(SEARCH("Веха не участвует в расчете выплат за квартал",L15)))</formula>
    </cfRule>
  </conditionalFormatting>
  <conditionalFormatting sqref="L15">
    <cfRule type="containsText" dxfId="106" priority="2228" operator="containsText" text="Принять решение о перерасчете выплаченной части при падении NPV">
      <formula>NOT(ISERROR(SEARCH("Принять решение о перерасчете выплаченной части при падении NPV",L15)))</formula>
    </cfRule>
  </conditionalFormatting>
  <conditionalFormatting sqref="K16:K35 O16 M16:M35">
    <cfRule type="containsText" dxfId="105" priority="2226" operator="containsText" text="Зафиксируй NPV для расчета в комментарии!">
      <formula>NOT(ISERROR(SEARCH("Зафиксируй NPV для расчета в комментарии!",K16)))</formula>
    </cfRule>
    <cfRule type="containsText" dxfId="104" priority="2227" operator="containsText" text="Веха не участвует в расчете выплат за квартал">
      <formula>NOT(ISERROR(SEARCH("Веха не участвует в расчете выплат за квартал",K16)))</formula>
    </cfRule>
  </conditionalFormatting>
  <conditionalFormatting sqref="K16:K35 O16 M16:M35">
    <cfRule type="containsText" dxfId="103" priority="2225" operator="containsText" text="Принять решение о перерасчете выплаченной части при падении NPV">
      <formula>NOT(ISERROR(SEARCH("Принять решение о перерасчете выплаченной части при падении NPV",K16)))</formula>
    </cfRule>
  </conditionalFormatting>
  <conditionalFormatting sqref="N16">
    <cfRule type="containsText" dxfId="102" priority="2151" operator="containsText" text="Зафиксируй NPV для расчета в комментарии!">
      <formula>NOT(ISERROR(SEARCH("Зафиксируй NPV для расчета в комментарии!",N16)))</formula>
    </cfRule>
    <cfRule type="containsText" dxfId="101" priority="2152" operator="containsText" text="Веха не участвует в расчете выплат за квартал">
      <formula>NOT(ISERROR(SEARCH("Веха не участвует в расчете выплат за квартал",N16)))</formula>
    </cfRule>
  </conditionalFormatting>
  <conditionalFormatting sqref="N16">
    <cfRule type="containsText" dxfId="100" priority="2150" operator="containsText" text="Принять решение о перерасчете выплаченной части при падении NPV">
      <formula>NOT(ISERROR(SEARCH("Принять решение о перерасчете выплаченной части при падении NPV",N16)))</formula>
    </cfRule>
  </conditionalFormatting>
  <conditionalFormatting sqref="L16:L35">
    <cfRule type="containsText" dxfId="99" priority="2058" operator="containsText" text="Зафиксируй NPV для расчета в комментарии!">
      <formula>NOT(ISERROR(SEARCH("Зафиксируй NPV для расчета в комментарии!",L16)))</formula>
    </cfRule>
    <cfRule type="containsText" dxfId="98" priority="2059" operator="containsText" text="Веха не участвует в расчете выплат за квартал">
      <formula>NOT(ISERROR(SEARCH("Веха не участвует в расчете выплат за квартал",L16)))</formula>
    </cfRule>
  </conditionalFormatting>
  <conditionalFormatting sqref="L16:L35">
    <cfRule type="containsText" dxfId="97" priority="2057" operator="containsText" text="Принять решение о перерасчете выплаченной части при падении NPV">
      <formula>NOT(ISERROR(SEARCH("Принять решение о перерасчете выплаченной части при падении NPV",L16)))</formula>
    </cfRule>
  </conditionalFormatting>
  <conditionalFormatting sqref="K11:N11">
    <cfRule type="containsText" dxfId="96" priority="2043" operator="containsText" text="Зафиксируй NPV для расчета в комментарии!">
      <formula>NOT(ISERROR(SEARCH("Зафиксируй NPV для расчета в комментарии!",K11)))</formula>
    </cfRule>
    <cfRule type="containsText" dxfId="95" priority="2044" operator="containsText" text="Веха не участвует в расчете выплат за квартал">
      <formula>NOT(ISERROR(SEARCH("Веха не участвует в расчете выплат за квартал",K11)))</formula>
    </cfRule>
  </conditionalFormatting>
  <conditionalFormatting sqref="K11:N11">
    <cfRule type="containsText" dxfId="94" priority="2042" operator="containsText" text="Принять решение о перерасчете выплаченной части при падении NPV">
      <formula>NOT(ISERROR(SEARCH("Принять решение о перерасчете выплаченной части при падении NPV",K11)))</formula>
    </cfRule>
  </conditionalFormatting>
  <conditionalFormatting sqref="F1:F2">
    <cfRule type="containsText" dxfId="93" priority="228" operator="containsText" text="Зафиксируй NPV для расчета в комментарии!">
      <formula>NOT(ISERROR(SEARCH("Зафиксируй NPV для расчета в комментарии!",F1)))</formula>
    </cfRule>
    <cfRule type="containsText" dxfId="92" priority="229" operator="containsText" text="Веха не участвует в расчете выплат за квартал">
      <formula>NOT(ISERROR(SEARCH("Веха не участвует в расчете выплат за квартал",F1)))</formula>
    </cfRule>
  </conditionalFormatting>
  <conditionalFormatting sqref="F1:F2">
    <cfRule type="containsText" dxfId="91" priority="227" operator="containsText" text="Принять решение о перерасчете выплаченной части при падении NPV">
      <formula>NOT(ISERROR(SEARCH("Принять решение о перерасчете выплаченной части при падении NPV",F1)))</formula>
    </cfRule>
  </conditionalFormatting>
  <conditionalFormatting sqref="O17:O35">
    <cfRule type="containsText" dxfId="90" priority="68" operator="containsText" text="Зафиксируй NPV для расчета в комментарии!">
      <formula>NOT(ISERROR(SEARCH("Зафиксируй NPV для расчета в комментарии!",O17)))</formula>
    </cfRule>
    <cfRule type="containsText" dxfId="89" priority="69" operator="containsText" text="Веха не участвует в расчете выплат за квартал">
      <formula>NOT(ISERROR(SEARCH("Веха не участвует в расчете выплат за квартал",O17)))</formula>
    </cfRule>
  </conditionalFormatting>
  <conditionalFormatting sqref="O17:O35">
    <cfRule type="containsText" dxfId="88" priority="67" operator="containsText" text="Принять решение о перерасчете выплаченной части при падении NPV">
      <formula>NOT(ISERROR(SEARCH("Принять решение о перерасчете выплаченной части при падении NPV",O17)))</formula>
    </cfRule>
  </conditionalFormatting>
  <conditionalFormatting sqref="N17:N35">
    <cfRule type="containsText" dxfId="87" priority="65" operator="containsText" text="Зафиксируй NPV для расчета в комментарии!">
      <formula>NOT(ISERROR(SEARCH("Зафиксируй NPV для расчета в комментарии!",N17)))</formula>
    </cfRule>
    <cfRule type="containsText" dxfId="86" priority="66" operator="containsText" text="Веха не участвует в расчете выплат за квартал">
      <formula>NOT(ISERROR(SEARCH("Веха не участвует в расчете выплат за квартал",N17)))</formula>
    </cfRule>
  </conditionalFormatting>
  <conditionalFormatting sqref="N17:N35">
    <cfRule type="containsText" dxfId="85" priority="64" operator="containsText" text="Принять решение о перерасчете выплаченной части при падении NPV">
      <formula>NOT(ISERROR(SEARCH("Принять решение о перерасчете выплаченной части при падении NPV",N17)))</formula>
    </cfRule>
  </conditionalFormatting>
  <conditionalFormatting sqref="P1:T3 S37:T39 T13 P4:S4 P5:T9 P36:Q39 P41:Q41 P14:T14 S41:T41 P40:T40 P42:T43 P90:T1048576 T36 P10:S10">
    <cfRule type="containsText" dxfId="84" priority="62" operator="containsText" text="Зафиксируй NPV для расчета в комментарии!">
      <formula>NOT(ISERROR(SEARCH("Зафиксируй NPV для расчета в комментарии!",P1)))</formula>
    </cfRule>
    <cfRule type="containsText" dxfId="83" priority="63" operator="containsText" text="Веха не участвует в расчете выплат за квартал">
      <formula>NOT(ISERROR(SEARCH("Веха не участвует в расчете выплат за квартал",P1)))</formula>
    </cfRule>
  </conditionalFormatting>
  <conditionalFormatting sqref="P1:T3 S37:T39 T13 P4:S4 P5:T9 P36:Q39 P41:Q41 P14:T14 S41:T41 P40:T40 P42:T43 P90:T1048576 T36 P10:S10">
    <cfRule type="containsText" dxfId="82" priority="61" operator="containsText" text="Принять решение о перерасчете выплаченной части при падении NPV">
      <formula>NOT(ISERROR(SEARCH("Принять решение о перерасчете выплаченной части при падении NPV",P1)))</formula>
    </cfRule>
  </conditionalFormatting>
  <conditionalFormatting sqref="R36:R39">
    <cfRule type="containsText" dxfId="81" priority="59" operator="containsText" text="Зафиксируй NPV для расчета в комментарии!">
      <formula>NOT(ISERROR(SEARCH("Зафиксируй NPV для расчета в комментарии!",R36)))</formula>
    </cfRule>
    <cfRule type="containsText" dxfId="80" priority="60" operator="containsText" text="Веха не участвует в расчете выплат за квартал">
      <formula>NOT(ISERROR(SEARCH("Веха не участвует в расчете выплат за квартал",R36)))</formula>
    </cfRule>
  </conditionalFormatting>
  <conditionalFormatting sqref="R36:R39">
    <cfRule type="containsText" dxfId="79" priority="58" operator="containsText" text="Принять решение о перерасчете выплаченной части при падении NPV">
      <formula>NOT(ISERROR(SEARCH("Принять решение о перерасчете выплаченной части при падении NPV",R36)))</formula>
    </cfRule>
  </conditionalFormatting>
  <conditionalFormatting sqref="T12">
    <cfRule type="containsText" dxfId="78" priority="56" operator="containsText" text="Зафиксируй NPV для расчета в комментарии!">
      <formula>NOT(ISERROR(SEARCH("Зафиксируй NPV для расчета в комментарии!",T12)))</formula>
    </cfRule>
    <cfRule type="containsText" dxfId="77" priority="57" operator="containsText" text="Веха не участвует в расчете выплат за квартал">
      <formula>NOT(ISERROR(SEARCH("Веха не участвует в расчете выплат за квартал",T12)))</formula>
    </cfRule>
  </conditionalFormatting>
  <conditionalFormatting sqref="T12">
    <cfRule type="containsText" dxfId="76" priority="55" operator="containsText" text="Принять решение о перерасчете выплаченной части при падении NPV">
      <formula>NOT(ISERROR(SEARCH("Принять решение о перерасчете выплаченной части при падении NPV",T12)))</formula>
    </cfRule>
  </conditionalFormatting>
  <conditionalFormatting sqref="P13:Q13">
    <cfRule type="containsText" dxfId="75" priority="53" operator="containsText" text="Зафиксируй NPV для расчета в комментарии!">
      <formula>NOT(ISERROR(SEARCH("Зафиксируй NPV для расчета в комментарии!",P13)))</formula>
    </cfRule>
    <cfRule type="containsText" dxfId="74" priority="54" operator="containsText" text="Веха не участвует в расчете выплат за квартал">
      <formula>NOT(ISERROR(SEARCH("Веха не участвует в расчете выплат за квартал",P13)))</formula>
    </cfRule>
  </conditionalFormatting>
  <conditionalFormatting sqref="P13:Q13">
    <cfRule type="containsText" dxfId="73" priority="52" operator="containsText" text="Принять решение о перерасчете выплаченной части при падении NPV">
      <formula>NOT(ISERROR(SEARCH("Принять решение о перерасчете выплаченной части при падении NPV",P13)))</formula>
    </cfRule>
  </conditionalFormatting>
  <conditionalFormatting sqref="S36">
    <cfRule type="containsText" dxfId="72" priority="50" operator="containsText" text="Зафиксируй NPV для расчета в комментарии!">
      <formula>NOT(ISERROR(SEARCH("Зафиксируй NPV для расчета в комментарии!",S36)))</formula>
    </cfRule>
    <cfRule type="containsText" dxfId="71" priority="51" operator="containsText" text="Веха не участвует в расчете выплат за квартал">
      <formula>NOT(ISERROR(SEARCH("Веха не участвует в расчете выплат за квартал",S36)))</formula>
    </cfRule>
  </conditionalFormatting>
  <conditionalFormatting sqref="S36">
    <cfRule type="containsText" dxfId="70" priority="49" operator="containsText" text="Принять решение о перерасчете выплаченной части при падении NPV">
      <formula>NOT(ISERROR(SEARCH("Принять решение о перерасчете выплаченной части при падении NPV",S36)))</formula>
    </cfRule>
  </conditionalFormatting>
  <conditionalFormatting sqref="T15 P15">
    <cfRule type="containsText" dxfId="69" priority="44" operator="containsText" text="Зафиксируй NPV для расчета в комментарии!">
      <formula>NOT(ISERROR(SEARCH("Зафиксируй NPV для расчета в комментарии!",P15)))</formula>
    </cfRule>
    <cfRule type="containsText" dxfId="68" priority="45" operator="containsText" text="Веха не участвует в расчете выплат за квартал">
      <formula>NOT(ISERROR(SEARCH("Веха не участвует в расчете выплат за квартал",P15)))</formula>
    </cfRule>
  </conditionalFormatting>
  <conditionalFormatting sqref="T15 P15">
    <cfRule type="containsText" dxfId="67" priority="43" operator="containsText" text="Принять решение о перерасчете выплаченной части при падении NPV">
      <formula>NOT(ISERROR(SEARCH("Принять решение о перерасчете выплаченной части при падении NPV",P15)))</formula>
    </cfRule>
  </conditionalFormatting>
  <conditionalFormatting sqref="S15">
    <cfRule type="containsText" dxfId="66" priority="41" operator="containsText" text="Зафиксируй NPV для расчета в комментарии!">
      <formula>NOT(ISERROR(SEARCH("Зафиксируй NPV для расчета в комментарии!",S15)))</formula>
    </cfRule>
    <cfRule type="containsText" dxfId="65" priority="42" operator="containsText" text="Веха не участвует в расчете выплат за квартал">
      <formula>NOT(ISERROR(SEARCH("Веха не участвует в расчете выплат за квартал",S15)))</formula>
    </cfRule>
  </conditionalFormatting>
  <conditionalFormatting sqref="S15">
    <cfRule type="containsText" dxfId="64" priority="40" operator="containsText" text="Принять решение о перерасчете выплаченной части при падении NPV">
      <formula>NOT(ISERROR(SEARCH("Принять решение о перерасчете выплаченной части при падении NPV",S15)))</formula>
    </cfRule>
  </conditionalFormatting>
  <conditionalFormatting sqref="R15">
    <cfRule type="containsText" dxfId="63" priority="38" operator="containsText" text="Зафиксируй NPV для расчета в комментарии!">
      <formula>NOT(ISERROR(SEARCH("Зафиксируй NPV для расчета в комментарии!",R15)))</formula>
    </cfRule>
    <cfRule type="containsText" dxfId="62" priority="39" operator="containsText" text="Веха не участвует в расчете выплат за квартал">
      <formula>NOT(ISERROR(SEARCH("Веха не участвует в расчете выплат за квартал",R15)))</formula>
    </cfRule>
  </conditionalFormatting>
  <conditionalFormatting sqref="R15">
    <cfRule type="containsText" dxfId="61" priority="37" operator="containsText" text="Принять решение о перерасчете выплаченной части при падении NPV">
      <formula>NOT(ISERROR(SEARCH("Принять решение о перерасчете выплаченной части при падении NPV",R15)))</formula>
    </cfRule>
  </conditionalFormatting>
  <conditionalFormatting sqref="Q15">
    <cfRule type="containsText" dxfId="60" priority="35" operator="containsText" text="Зафиксируй NPV для расчета в комментарии!">
      <formula>NOT(ISERROR(SEARCH("Зафиксируй NPV для расчета в комментарии!",Q15)))</formula>
    </cfRule>
    <cfRule type="containsText" dxfId="59" priority="36" operator="containsText" text="Веха не участвует в расчете выплат за квартал">
      <formula>NOT(ISERROR(SEARCH("Веха не участвует в расчете выплат за квартал",Q15)))</formula>
    </cfRule>
  </conditionalFormatting>
  <conditionalFormatting sqref="Q15">
    <cfRule type="containsText" dxfId="58" priority="34" operator="containsText" text="Принять решение о перерасчете выплаченной части при падении NPV">
      <formula>NOT(ISERROR(SEARCH("Принять решение о перерасчете выплаченной части при падении NPV",Q15)))</formula>
    </cfRule>
  </conditionalFormatting>
  <conditionalFormatting sqref="P16:P35 T16 R16:R35">
    <cfRule type="containsText" dxfId="57" priority="32" operator="containsText" text="Зафиксируй NPV для расчета в комментарии!">
      <formula>NOT(ISERROR(SEARCH("Зафиксируй NPV для расчета в комментарии!",P16)))</formula>
    </cfRule>
    <cfRule type="containsText" dxfId="56" priority="33" operator="containsText" text="Веха не участвует в расчете выплат за квартал">
      <formula>NOT(ISERROR(SEARCH("Веха не участвует в расчете выплат за квартал",P16)))</formula>
    </cfRule>
  </conditionalFormatting>
  <conditionalFormatting sqref="P16:P35 T16 R16:R35">
    <cfRule type="containsText" dxfId="55" priority="31" operator="containsText" text="Принять решение о перерасчете выплаченной части при падении NPV">
      <formula>NOT(ISERROR(SEARCH("Принять решение о перерасчете выплаченной части при падении NPV",P16)))</formula>
    </cfRule>
  </conditionalFormatting>
  <conditionalFormatting sqref="S16">
    <cfRule type="containsText" dxfId="54" priority="29" operator="containsText" text="Зафиксируй NPV для расчета в комментарии!">
      <formula>NOT(ISERROR(SEARCH("Зафиксируй NPV для расчета в комментарии!",S16)))</formula>
    </cfRule>
    <cfRule type="containsText" dxfId="53" priority="30" operator="containsText" text="Веха не участвует в расчете выплат за квартал">
      <formula>NOT(ISERROR(SEARCH("Веха не участвует в расчете выплат за квартал",S16)))</formula>
    </cfRule>
  </conditionalFormatting>
  <conditionalFormatting sqref="S16">
    <cfRule type="containsText" dxfId="52" priority="28" operator="containsText" text="Принять решение о перерасчете выплаченной части при падении NPV">
      <formula>NOT(ISERROR(SEARCH("Принять решение о перерасчете выплаченной части при падении NPV",S16)))</formula>
    </cfRule>
  </conditionalFormatting>
  <conditionalFormatting sqref="Q16:Q35">
    <cfRule type="containsText" dxfId="51" priority="26" operator="containsText" text="Зафиксируй NPV для расчета в комментарии!">
      <formula>NOT(ISERROR(SEARCH("Зафиксируй NPV для расчета в комментарии!",Q16)))</formula>
    </cfRule>
    <cfRule type="containsText" dxfId="50" priority="27" operator="containsText" text="Веха не участвует в расчете выплат за квартал">
      <formula>NOT(ISERROR(SEARCH("Веха не участвует в расчете выплат за квартал",Q16)))</formula>
    </cfRule>
  </conditionalFormatting>
  <conditionalFormatting sqref="Q16:Q35">
    <cfRule type="containsText" dxfId="49" priority="25" operator="containsText" text="Принять решение о перерасчете выплаченной части при падении NPV">
      <formula>NOT(ISERROR(SEARCH("Принять решение о перерасчете выплаченной части при падении NPV",Q16)))</formula>
    </cfRule>
  </conditionalFormatting>
  <conditionalFormatting sqref="P11:S11">
    <cfRule type="containsText" dxfId="48" priority="23" operator="containsText" text="Зафиксируй NPV для расчета в комментарии!">
      <formula>NOT(ISERROR(SEARCH("Зафиксируй NPV для расчета в комментарии!",P11)))</formula>
    </cfRule>
    <cfRule type="containsText" dxfId="47" priority="24" operator="containsText" text="Веха не участвует в расчете выплат за квартал">
      <formula>NOT(ISERROR(SEARCH("Веха не участвует в расчете выплат за квартал",P11)))</formula>
    </cfRule>
  </conditionalFormatting>
  <conditionalFormatting sqref="P11:S11">
    <cfRule type="containsText" dxfId="46" priority="22" operator="containsText" text="Принять решение о перерасчете выплаченной части при падении NPV">
      <formula>NOT(ISERROR(SEARCH("Принять решение о перерасчете выплаченной части при падении NPV",P11)))</formula>
    </cfRule>
  </conditionalFormatting>
  <conditionalFormatting sqref="T17:T35">
    <cfRule type="containsText" dxfId="45" priority="17" operator="containsText" text="Зафиксируй NPV для расчета в комментарии!">
      <formula>NOT(ISERROR(SEARCH("Зафиксируй NPV для расчета в комментарии!",T17)))</formula>
    </cfRule>
    <cfRule type="containsText" dxfId="44" priority="18" operator="containsText" text="Веха не участвует в расчете выплат за квартал">
      <formula>NOT(ISERROR(SEARCH("Веха не участвует в расчете выплат за квартал",T17)))</formula>
    </cfRule>
  </conditionalFormatting>
  <conditionalFormatting sqref="T17:T35">
    <cfRule type="containsText" dxfId="43" priority="16" operator="containsText" text="Принять решение о перерасчете выплаченной части при падении NPV">
      <formula>NOT(ISERROR(SEARCH("Принять решение о перерасчете выплаченной части при падении NPV",T17)))</formula>
    </cfRule>
  </conditionalFormatting>
  <conditionalFormatting sqref="S17:S35">
    <cfRule type="containsText" dxfId="42" priority="14" operator="containsText" text="Зафиксируй NPV для расчета в комментарии!">
      <formula>NOT(ISERROR(SEARCH("Зафиксируй NPV для расчета в комментарии!",S17)))</formula>
    </cfRule>
    <cfRule type="containsText" dxfId="41" priority="15" operator="containsText" text="Веха не участвует в расчете выплат за квартал">
      <formula>NOT(ISERROR(SEARCH("Веха не участвует в расчете выплат за квартал",S17)))</formula>
    </cfRule>
  </conditionalFormatting>
  <conditionalFormatting sqref="S17:S35">
    <cfRule type="containsText" dxfId="40" priority="13" operator="containsText" text="Принять решение о перерасчете выплаченной части при падении NPV">
      <formula>NOT(ISERROR(SEARCH("Принять решение о перерасчете выплаченной части при падении NPV",S17)))</formula>
    </cfRule>
  </conditionalFormatting>
  <conditionalFormatting sqref="T4">
    <cfRule type="containsText" dxfId="39" priority="11" operator="containsText" text="Зафиксируй NPV для расчета в комментарии!">
      <formula>NOT(ISERROR(SEARCH("Зафиксируй NPV для расчета в комментарии!",T4)))</formula>
    </cfRule>
    <cfRule type="containsText" dxfId="38" priority="12" operator="containsText" text="Веха не участвует в расчете выплат за квартал">
      <formula>NOT(ISERROR(SEARCH("Веха не участвует в расчете выплат за квартал",T4)))</formula>
    </cfRule>
  </conditionalFormatting>
  <conditionalFormatting sqref="T4">
    <cfRule type="containsText" dxfId="37" priority="10" operator="containsText" text="Принять решение о перерасчете выплаченной части при падении NPV">
      <formula>NOT(ISERROR(SEARCH("Принять решение о перерасчете выплаченной части при падении NPV",T4)))</formula>
    </cfRule>
  </conditionalFormatting>
  <conditionalFormatting sqref="T10:T11">
    <cfRule type="containsText" dxfId="36" priority="8" operator="containsText" text="Зафиксируй NPV для расчета в комментарии!">
      <formula>NOT(ISERROR(SEARCH("Зафиксируй NPV для расчета в комментарии!",T10)))</formula>
    </cfRule>
    <cfRule type="containsText" dxfId="35" priority="9" operator="containsText" text="Веха не участвует в расчете выплат за квартал">
      <formula>NOT(ISERROR(SEARCH("Веха не участвует в расчете выплат за квартал",T10)))</formula>
    </cfRule>
  </conditionalFormatting>
  <conditionalFormatting sqref="T10:T11">
    <cfRule type="containsText" dxfId="34" priority="7" operator="containsText" text="Принять решение о перерасчете выплаченной части при падении NPV">
      <formula>NOT(ISERROR(SEARCH("Принять решение о перерасчете выплаченной части при падении NPV",T10)))</formula>
    </cfRule>
  </conditionalFormatting>
  <conditionalFormatting sqref="O11">
    <cfRule type="containsText" dxfId="33" priority="5" operator="containsText" text="Зафиксируй NPV для расчета в комментарии!">
      <formula>NOT(ISERROR(SEARCH("Зафиксируй NPV для расчета в комментарии!",O11)))</formula>
    </cfRule>
    <cfRule type="containsText" dxfId="32" priority="6" operator="containsText" text="Веха не участвует в расчете выплат за квартал">
      <formula>NOT(ISERROR(SEARCH("Веха не участвует в расчете выплат за квартал",O11)))</formula>
    </cfRule>
  </conditionalFormatting>
  <conditionalFormatting sqref="O11">
    <cfRule type="containsText" dxfId="31" priority="4" operator="containsText" text="Принять решение о перерасчете выплаченной части при падении NPV">
      <formula>NOT(ISERROR(SEARCH("Принять решение о перерасчете выплаченной части при падении NPV",O11)))</formula>
    </cfRule>
  </conditionalFormatting>
  <conditionalFormatting sqref="F3">
    <cfRule type="containsText" dxfId="30" priority="2" operator="containsText" text="Зафиксируй NPV для расчета в комментарии!">
      <formula>NOT(ISERROR(SEARCH("Зафиксируй NPV для расчета в комментарии!",F3)))</formula>
    </cfRule>
    <cfRule type="containsText" dxfId="29" priority="3" operator="containsText" text="Веха не участвует в расчете выплат за квартал">
      <formula>NOT(ISERROR(SEARCH("Веха не участвует в расчете выплат за квартал",F3)))</formula>
    </cfRule>
  </conditionalFormatting>
  <conditionalFormatting sqref="F3">
    <cfRule type="containsText" dxfId="28" priority="1" operator="containsText" text="Принять решение о перерасчете выплаченной части при падении NPV">
      <formula>NOT(ISERROR(SEARCH("Принять решение о перерасчете выплаченной части при падении NPV",F3)))</formula>
    </cfRule>
  </conditionalFormatting>
  <dataValidations disablePrompts="1" count="2">
    <dataValidation type="list" allowBlank="1" showInputMessage="1" showErrorMessage="1" sqref="F1 F3" xr:uid="{BD13E140-80F9-4AB4-BEDF-BFABC92F2F2C}">
      <formula1>"Да,Нет"</formula1>
    </dataValidation>
    <dataValidation type="list" showInputMessage="1" showErrorMessage="1" sqref="K12:N12 P12:S12" xr:uid="{C2F47658-B0BD-44BF-A064-4BCC1EAC710A}">
      <formula1>"Дата ухода с проекта (этапа), Дата перевода с проекта (этапа),   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00000000}">
          <x14:formula1>
            <xm:f>тех.лист!$B$2:$B$5</xm:f>
          </x14:formula1>
          <xm:sqref>O1 T1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Y139"/>
  <sheetViews>
    <sheetView topLeftCell="A28" zoomScale="73" zoomScaleNormal="73" workbookViewId="0">
      <selection activeCell="D16" sqref="D16"/>
    </sheetView>
  </sheetViews>
  <sheetFormatPr defaultColWidth="9.140625" defaultRowHeight="15" x14ac:dyDescent="0.25"/>
  <cols>
    <col min="1" max="1" width="9.140625" style="48"/>
    <col min="2" max="2" width="78.85546875" style="47" customWidth="1"/>
    <col min="3" max="3" width="27.7109375" style="47" customWidth="1"/>
    <col min="4" max="4" width="16.42578125" style="47" customWidth="1"/>
    <col min="5" max="5" width="18.42578125" style="47" customWidth="1"/>
    <col min="6" max="6" width="14.28515625" style="47" customWidth="1"/>
    <col min="7" max="7" width="18.5703125" style="47" customWidth="1"/>
    <col min="8" max="9" width="13.28515625" style="47" customWidth="1"/>
    <col min="10" max="10" width="16" style="47" customWidth="1"/>
    <col min="11" max="11" width="14" style="53" customWidth="1"/>
    <col min="12" max="12" width="13.28515625" style="53" customWidth="1"/>
    <col min="13" max="13" width="14" style="53" customWidth="1"/>
    <col min="14" max="14" width="12.140625" style="47" customWidth="1"/>
    <col min="15" max="15" width="13.28515625" style="47" customWidth="1"/>
    <col min="16" max="16" width="13.5703125" style="47" customWidth="1"/>
    <col min="17" max="17" width="14.7109375" style="47" customWidth="1"/>
    <col min="18" max="19" width="14.7109375" style="53" customWidth="1"/>
    <col min="20" max="20" width="14.7109375" style="48" customWidth="1"/>
    <col min="21" max="22" width="14.7109375" style="49" customWidth="1"/>
    <col min="23" max="23" width="14.7109375" style="48" customWidth="1"/>
    <col min="24" max="25" width="14.7109375" style="49" customWidth="1"/>
    <col min="26" max="16384" width="9.140625" style="48"/>
  </cols>
  <sheetData>
    <row r="1" spans="1:25" ht="26.25" x14ac:dyDescent="0.4">
      <c r="B1" s="52" t="s">
        <v>73</v>
      </c>
    </row>
    <row r="2" spans="1:25" ht="26.25" x14ac:dyDescent="0.4">
      <c r="B2" s="52"/>
    </row>
    <row r="3" spans="1:25" x14ac:dyDescent="0.25">
      <c r="B3" s="54">
        <v>0</v>
      </c>
      <c r="G3" s="48"/>
    </row>
    <row r="4" spans="1:25" x14ac:dyDescent="0.25">
      <c r="B4" s="47">
        <v>1</v>
      </c>
      <c r="K4" s="55"/>
      <c r="L4" s="55"/>
      <c r="M4" s="55"/>
    </row>
    <row r="5" spans="1:25" x14ac:dyDescent="0.25">
      <c r="B5" s="56" t="s">
        <v>20</v>
      </c>
      <c r="C5" s="56" t="s">
        <v>48</v>
      </c>
      <c r="D5" s="57">
        <v>1</v>
      </c>
      <c r="E5" s="57">
        <v>0.5</v>
      </c>
      <c r="F5" s="57">
        <v>0.25</v>
      </c>
      <c r="G5" s="57">
        <v>0.25</v>
      </c>
      <c r="H5" s="57" t="s">
        <v>74</v>
      </c>
    </row>
    <row r="6" spans="1:25" ht="27.75" customHeight="1" x14ac:dyDescent="0.25">
      <c r="B6" s="58">
        <f t="array" ref="B6">IFERROR(INDEX(калькулятор!$K$3:$OJ$3,SMALL(IF(COUNTIF($B$3:B5,калькулятор!$K$3:$OJ$3)=0,COLUMN(калькулятор!$K$3:$OJ$3)-COLUMN(калькулятор!$K$3)+1),1)),"")</f>
      </c>
      <c r="C6" s="59">
        <f>IFERROR(INDEX(калькулятор!$1:$3,1,MATCH(B6,калькулятор!$3:$3,0)),"")</f>
      </c>
      <c r="D6" s="60">
        <f t="shared" ref="D6:D37" si="0">IF(B6="","",IF(OR($C6="КУПК",$C6="КУПК (РП/ЗРП)"),"",VLOOKUP($B6,$B$39:$S$1353,10,0)))</f>
      </c>
      <c r="E6" s="60">
        <f t="shared" ref="E6:E37" si="1">IF($B6="","",IF(OR($C6="МП",$C6="РУПК"),"",VLOOKUP($B6,$B$39:$S$1353,10,0)))</f>
      </c>
      <c r="F6" s="60">
        <f t="shared" ref="F6:F37" si="2">IF($B6="","",IF(OR($C6="МП",$C6="РУПК"),"",VLOOKUP($B6,$B$39:$S$1353,13,0)))</f>
      </c>
      <c r="G6" s="60">
        <f t="shared" ref="G6:G37" si="3">IF($B6="","",IF(OR($C6="МП",$C6="РУПК"),"",VLOOKUP($B6,$B$39:$S$1353,16,0)))</f>
      </c>
      <c r="H6" s="60">
        <f>IF(B6="","",SUM(D6:G6))</f>
      </c>
    </row>
    <row r="7" spans="1:25" x14ac:dyDescent="0.25">
      <c r="B7" s="58">
        <f t="array" ref="B7">IFERROR(INDEX(калькулятор!$K$3:$OJ$3,SMALL(IF(COUNTIF($B$3:B6,калькулятор!$K$3:$OJ$3)=0,COLUMN(калькулятор!$K$3:$OJ$3)-COLUMN(калькулятор!$K$3)+1),1)),"")</f>
      </c>
      <c r="C7" s="59">
        <f>IFERROR(INDEX(калькулятор!$1:$3,1,MATCH(B7,калькулятор!$3:$3,0)),"")</f>
      </c>
      <c r="D7" s="60">
        <f t="shared" si="0"/>
      </c>
      <c r="E7" s="60">
        <f t="shared" si="1"/>
      </c>
      <c r="F7" s="60">
        <f t="shared" si="2"/>
      </c>
      <c r="G7" s="60">
        <f t="shared" si="3"/>
      </c>
      <c r="H7" s="60">
        <f t="shared" ref="H7:H37" si="4">IF(B7="","",SUM(D7:G7))</f>
      </c>
    </row>
    <row r="8" spans="1:25" x14ac:dyDescent="0.25">
      <c r="B8" s="58">
        <f t="array" ref="B8">IFERROR(INDEX(калькулятор!$K$3:$OJ$3,SMALL(IF(COUNTIF($B$3:B7,калькулятор!$K$3:$OJ$3)=0,COLUMN(калькулятор!$K$3:$OJ$3)-COLUMN(калькулятор!$K$3)+1),1)),"")</f>
      </c>
      <c r="C8" s="59">
        <f>IFERROR(INDEX(калькулятор!$1:$3,1,MATCH(B8,калькулятор!$3:$3,0)),"")</f>
      </c>
      <c r="D8" s="60">
        <f t="shared" si="0"/>
      </c>
      <c r="E8" s="60">
        <f t="shared" si="1"/>
      </c>
      <c r="F8" s="60">
        <f t="shared" si="2"/>
      </c>
      <c r="G8" s="60">
        <f t="shared" si="3"/>
      </c>
      <c r="H8" s="60">
        <f t="shared" si="4"/>
      </c>
    </row>
    <row r="9" spans="1:25" x14ac:dyDescent="0.25">
      <c r="B9" s="58">
        <f t="array" ref="B9">IFERROR(INDEX(калькулятор!$K$3:$OJ$3,SMALL(IF(COUNTIF($B$3:B8,калькулятор!$K$3:$OJ$3)=0,COLUMN(калькулятор!$K$3:$OJ$3)-COLUMN(калькулятор!$K$3)+1),1)),"")</f>
      </c>
      <c r="C9" s="59">
        <f>IFERROR(INDEX(калькулятор!$1:$3,1,MATCH(B9,калькулятор!$3:$3,0)),"")</f>
      </c>
      <c r="D9" s="60">
        <f t="shared" si="0"/>
      </c>
      <c r="E9" s="60">
        <f t="shared" si="1"/>
      </c>
      <c r="F9" s="60">
        <f t="shared" si="2"/>
      </c>
      <c r="G9" s="60">
        <f t="shared" si="3"/>
      </c>
      <c r="H9" s="60">
        <f t="shared" si="4"/>
      </c>
    </row>
    <row r="10" spans="1:25" x14ac:dyDescent="0.25">
      <c r="B10" s="58">
        <f t="array" ref="B10">IFERROR(INDEX(калькулятор!$K$3:$OJ$3,SMALL(IF(COUNTIF($B$3:B9,калькулятор!$K$3:$OJ$3)=0,COLUMN(калькулятор!$K$3:$OJ$3)-COLUMN(калькулятор!$K$3)+1),1)),"")</f>
      </c>
      <c r="C10" s="59">
        <f>IFERROR(INDEX(калькулятор!$1:$3,1,MATCH(B10,калькулятор!$3:$3,0)),"")</f>
      </c>
      <c r="D10" s="60">
        <f t="shared" si="0"/>
      </c>
      <c r="E10" s="60">
        <f t="shared" si="1"/>
      </c>
      <c r="F10" s="60">
        <f t="shared" si="2"/>
      </c>
      <c r="G10" s="60">
        <f t="shared" si="3"/>
      </c>
      <c r="H10" s="60">
        <f t="shared" si="4"/>
      </c>
    </row>
    <row r="11" spans="1:25" s="47" customFormat="1" x14ac:dyDescent="0.25">
      <c r="A11" s="48"/>
      <c r="B11" s="58">
        <f t="array" ref="B11">IFERROR(INDEX(калькулятор!$K$3:$OJ$3,SMALL(IF(COUNTIF($B$3:B10,калькулятор!$K$3:$OJ$3)=0,COLUMN(калькулятор!$K$3:$OJ$3)-COLUMN(калькулятор!$K$3)+1),1)),"")</f>
      </c>
      <c r="C11" s="59">
        <f>IFERROR(INDEX(калькулятор!$1:$3,1,MATCH(B11,калькулятор!$3:$3,0)),"")</f>
      </c>
      <c r="D11" s="60">
        <f t="shared" si="0"/>
      </c>
      <c r="E11" s="60">
        <f t="shared" si="1"/>
      </c>
      <c r="F11" s="60">
        <f t="shared" si="2"/>
      </c>
      <c r="G11" s="60">
        <f t="shared" si="3"/>
      </c>
      <c r="H11" s="60">
        <f t="shared" si="4"/>
      </c>
      <c r="K11" s="53"/>
      <c r="L11" s="53"/>
      <c r="M11" s="53"/>
      <c r="R11" s="53"/>
      <c r="S11" s="53"/>
      <c r="T11" s="48"/>
      <c r="U11" s="49"/>
      <c r="V11" s="49"/>
      <c r="W11" s="48"/>
      <c r="X11" s="49"/>
      <c r="Y11" s="49"/>
    </row>
    <row r="12" spans="1:25" s="47" customFormat="1" x14ac:dyDescent="0.25">
      <c r="A12" s="48"/>
      <c r="B12" s="58">
        <f t="array" ref="B12">IFERROR(INDEX(калькулятор!$K$3:$OJ$3,SMALL(IF(COUNTIF($B$3:B11,калькулятор!$K$3:$OJ$3)=0,COLUMN(калькулятор!$K$3:$OJ$3)-COLUMN(калькулятор!$K$3)+1),1)),"")</f>
      </c>
      <c r="C12" s="59">
        <f>IFERROR(INDEX(калькулятор!$1:$3,1,MATCH(B12,калькулятор!$3:$3,0)),"")</f>
      </c>
      <c r="D12" s="60">
        <f t="shared" si="0"/>
      </c>
      <c r="E12" s="60">
        <f t="shared" si="1"/>
      </c>
      <c r="F12" s="60">
        <f t="shared" si="2"/>
      </c>
      <c r="G12" s="60">
        <f t="shared" si="3"/>
      </c>
      <c r="H12" s="60">
        <f t="shared" si="4"/>
      </c>
      <c r="K12" s="53"/>
      <c r="L12" s="53"/>
      <c r="M12" s="53"/>
      <c r="R12" s="53"/>
      <c r="S12" s="53"/>
      <c r="T12" s="48"/>
      <c r="U12" s="49"/>
      <c r="V12" s="49"/>
      <c r="W12" s="48"/>
      <c r="X12" s="49"/>
      <c r="Y12" s="49"/>
    </row>
    <row r="13" spans="1:25" s="47" customFormat="1" x14ac:dyDescent="0.25">
      <c r="A13" s="48"/>
      <c r="B13" s="58">
        <f t="array" ref="B13">IFERROR(INDEX(калькулятор!$K$3:$OJ$3,SMALL(IF(COUNTIF($B$3:B12,калькулятор!$K$3:$OJ$3)=0,COLUMN(калькулятор!$K$3:$OJ$3)-COLUMN(калькулятор!$K$3)+1),1)),"")</f>
      </c>
      <c r="C13" s="59">
        <f>IFERROR(INDEX(калькулятор!$1:$3,1,MATCH(B13,калькулятор!$3:$3,0)),"")</f>
      </c>
      <c r="D13" s="60">
        <f t="shared" si="0"/>
      </c>
      <c r="E13" s="60">
        <f t="shared" si="1"/>
      </c>
      <c r="F13" s="60">
        <f t="shared" si="2"/>
      </c>
      <c r="G13" s="60">
        <f t="shared" si="3"/>
      </c>
      <c r="H13" s="60">
        <f t="shared" si="4"/>
      </c>
      <c r="K13" s="53"/>
      <c r="L13" s="53"/>
      <c r="M13" s="53"/>
      <c r="R13" s="53"/>
      <c r="S13" s="53"/>
      <c r="T13" s="48"/>
      <c r="U13" s="49"/>
      <c r="V13" s="49"/>
      <c r="W13" s="48"/>
      <c r="X13" s="49"/>
      <c r="Y13" s="49"/>
    </row>
    <row r="14" spans="1:25" s="47" customFormat="1" x14ac:dyDescent="0.25">
      <c r="A14" s="48"/>
      <c r="B14" s="58">
        <f t="array" ref="B14">IFERROR(INDEX(калькулятор!$K$3:$OJ$3,SMALL(IF(COUNTIF($B$3:B13,калькулятор!$K$3:$OJ$3)=0,COLUMN(калькулятор!$K$3:$OJ$3)-COLUMN(калькулятор!$K$3)+1),1)),"")</f>
      </c>
      <c r="C14" s="59">
        <f>IFERROR(INDEX(калькулятор!$1:$3,1,MATCH(B14,калькулятор!$3:$3,0)),"")</f>
      </c>
      <c r="D14" s="60">
        <f t="shared" si="0"/>
      </c>
      <c r="E14" s="60">
        <f t="shared" si="1"/>
      </c>
      <c r="F14" s="60">
        <f t="shared" si="2"/>
      </c>
      <c r="G14" s="60">
        <f t="shared" si="3"/>
      </c>
      <c r="H14" s="60">
        <f t="shared" si="4"/>
      </c>
      <c r="K14" s="53"/>
      <c r="L14" s="53"/>
      <c r="M14" s="53"/>
      <c r="R14" s="53"/>
      <c r="S14" s="53"/>
      <c r="T14" s="48"/>
      <c r="U14" s="49"/>
      <c r="V14" s="49"/>
      <c r="W14" s="48"/>
      <c r="X14" s="49"/>
      <c r="Y14" s="49"/>
    </row>
    <row r="15" spans="1:25" s="47" customFormat="1" x14ac:dyDescent="0.25">
      <c r="A15" s="48"/>
      <c r="B15" s="58">
        <f t="array" ref="B15">IFERROR(INDEX(калькулятор!$K$3:$OJ$3,SMALL(IF(COUNTIF($B$3:B14,калькулятор!$K$3:$OJ$3)=0,COLUMN(калькулятор!$K$3:$OJ$3)-COLUMN(калькулятор!$K$3)+1),1)),"")</f>
      </c>
      <c r="C15" s="59">
        <f>IFERROR(INDEX(калькулятор!$1:$3,1,MATCH(B15,калькулятор!$3:$3,0)),"")</f>
      </c>
      <c r="D15" s="60">
        <f t="shared" si="0"/>
      </c>
      <c r="E15" s="60">
        <f t="shared" si="1"/>
      </c>
      <c r="F15" s="60">
        <f t="shared" si="2"/>
      </c>
      <c r="G15" s="60">
        <f t="shared" si="3"/>
      </c>
      <c r="H15" s="60">
        <f t="shared" si="4"/>
      </c>
      <c r="K15" s="53"/>
      <c r="L15" s="53"/>
      <c r="M15" s="53"/>
      <c r="R15" s="53"/>
      <c r="S15" s="53"/>
      <c r="T15" s="48"/>
      <c r="U15" s="49"/>
      <c r="V15" s="49"/>
      <c r="W15" s="48"/>
      <c r="X15" s="49"/>
      <c r="Y15" s="49"/>
    </row>
    <row r="16" spans="1:25" s="47" customFormat="1" x14ac:dyDescent="0.25">
      <c r="A16" s="48"/>
      <c r="B16" s="58">
        <f t="array" ref="B16">IFERROR(INDEX(калькулятор!$K$3:$OJ$3,SMALL(IF(COUNTIF($B$3:B15,калькулятор!$K$3:$OJ$3)=0,COLUMN(калькулятор!$K$3:$OJ$3)-COLUMN(калькулятор!$K$3)+1),1)),"")</f>
      </c>
      <c r="C16" s="59">
        <f>IFERROR(INDEX(калькулятор!$1:$3,1,MATCH(B16,калькулятор!$3:$3,0)),"")</f>
      </c>
      <c r="D16" s="60">
        <f t="shared" si="0"/>
      </c>
      <c r="E16" s="60">
        <f t="shared" si="1"/>
      </c>
      <c r="F16" s="60">
        <f t="shared" si="2"/>
      </c>
      <c r="G16" s="60">
        <f t="shared" si="3"/>
      </c>
      <c r="H16" s="60">
        <f t="shared" si="4"/>
      </c>
      <c r="K16" s="53"/>
      <c r="L16" s="53"/>
      <c r="M16" s="53"/>
      <c r="R16" s="53"/>
      <c r="S16" s="53"/>
      <c r="T16" s="48"/>
      <c r="U16" s="49"/>
      <c r="V16" s="49"/>
      <c r="W16" s="48"/>
      <c r="X16" s="49"/>
      <c r="Y16" s="49"/>
    </row>
    <row r="17" spans="1:25" s="47" customFormat="1" x14ac:dyDescent="0.25">
      <c r="A17" s="48"/>
      <c r="B17" s="58">
        <f t="array" ref="B17">IFERROR(INDEX(калькулятор!$K$3:$OJ$3,SMALL(IF(COUNTIF($B$3:B16,калькулятор!$K$3:$OJ$3)=0,COLUMN(калькулятор!$K$3:$OJ$3)-COLUMN(калькулятор!$K$3)+1),1)),"")</f>
      </c>
      <c r="C17" s="59">
        <f>IFERROR(INDEX(калькулятор!$1:$3,1,MATCH(B17,калькулятор!$3:$3,0)),"")</f>
      </c>
      <c r="D17" s="60">
        <f t="shared" si="0"/>
      </c>
      <c r="E17" s="60">
        <f t="shared" si="1"/>
      </c>
      <c r="F17" s="60">
        <f t="shared" si="2"/>
      </c>
      <c r="G17" s="60">
        <f t="shared" si="3"/>
      </c>
      <c r="H17" s="60">
        <f t="shared" si="4"/>
      </c>
      <c r="K17" s="53"/>
      <c r="L17" s="53"/>
      <c r="M17" s="53"/>
      <c r="R17" s="53"/>
      <c r="S17" s="53"/>
      <c r="T17" s="48"/>
      <c r="U17" s="49"/>
      <c r="V17" s="49"/>
      <c r="W17" s="48"/>
      <c r="X17" s="49"/>
      <c r="Y17" s="49"/>
    </row>
    <row r="18" spans="1:25" s="47" customFormat="1" x14ac:dyDescent="0.25">
      <c r="A18" s="48"/>
      <c r="B18" s="58">
        <f t="array" ref="B18">IFERROR(INDEX(калькулятор!$K$3:$OJ$3,SMALL(IF(COUNTIF($B$3:B17,калькулятор!$K$3:$OJ$3)=0,COLUMN(калькулятор!$K$3:$OJ$3)-COLUMN(калькулятор!$K$3)+1),1)),"")</f>
      </c>
      <c r="C18" s="59">
        <f>IFERROR(INDEX(калькулятор!$1:$3,1,MATCH(B18,калькулятор!$3:$3,0)),"")</f>
      </c>
      <c r="D18" s="60">
        <f t="shared" si="0"/>
      </c>
      <c r="E18" s="60">
        <f t="shared" si="1"/>
      </c>
      <c r="F18" s="60">
        <f t="shared" si="2"/>
      </c>
      <c r="G18" s="60">
        <f t="shared" si="3"/>
      </c>
      <c r="H18" s="60">
        <f t="shared" si="4"/>
      </c>
      <c r="K18" s="53"/>
      <c r="L18" s="53"/>
      <c r="M18" s="53"/>
      <c r="R18" s="53"/>
      <c r="S18" s="53"/>
      <c r="T18" s="48"/>
      <c r="U18" s="49"/>
      <c r="V18" s="49"/>
      <c r="W18" s="48"/>
      <c r="X18" s="49"/>
      <c r="Y18" s="49"/>
    </row>
    <row r="19" spans="1:25" s="47" customFormat="1" x14ac:dyDescent="0.25">
      <c r="A19" s="48"/>
      <c r="B19" s="58">
        <f t="array" ref="B19">IFERROR(INDEX(калькулятор!$K$3:$OJ$3,SMALL(IF(COUNTIF($B$3:B18,калькулятор!$K$3:$OJ$3)=0,COLUMN(калькулятор!$K$3:$OJ$3)-COLUMN(калькулятор!$K$3)+1),1)),"")</f>
      </c>
      <c r="C19" s="59">
        <f>IFERROR(INDEX(калькулятор!$1:$3,1,MATCH(B19,калькулятор!$3:$3,0)),"")</f>
      </c>
      <c r="D19" s="60">
        <f t="shared" si="0"/>
      </c>
      <c r="E19" s="60">
        <f t="shared" si="1"/>
      </c>
      <c r="F19" s="60">
        <f t="shared" si="2"/>
      </c>
      <c r="G19" s="60">
        <f t="shared" si="3"/>
      </c>
      <c r="H19" s="60">
        <f t="shared" si="4"/>
      </c>
      <c r="K19" s="53"/>
      <c r="L19" s="53"/>
      <c r="M19" s="53"/>
      <c r="R19" s="53"/>
      <c r="S19" s="53"/>
      <c r="T19" s="48"/>
      <c r="U19" s="49"/>
      <c r="V19" s="49"/>
      <c r="W19" s="48"/>
      <c r="X19" s="49"/>
      <c r="Y19" s="49"/>
    </row>
    <row r="20" spans="1:25" s="47" customFormat="1" x14ac:dyDescent="0.25">
      <c r="A20" s="48"/>
      <c r="B20" s="58">
        <f t="array" ref="B20">IFERROR(INDEX(калькулятор!$K$3:$OJ$3,SMALL(IF(COUNTIF($B$3:B19,калькулятор!$K$3:$OJ$3)=0,COLUMN(калькулятор!$K$3:$OJ$3)-COLUMN(калькулятор!$K$3)+1),1)),"")</f>
      </c>
      <c r="C20" s="59">
        <f>IFERROR(INDEX(калькулятор!$1:$3,1,MATCH(B20,калькулятор!$3:$3,0)),"")</f>
      </c>
      <c r="D20" s="60">
        <f t="shared" si="0"/>
      </c>
      <c r="E20" s="60">
        <f t="shared" si="1"/>
      </c>
      <c r="F20" s="60">
        <f t="shared" si="2"/>
      </c>
      <c r="G20" s="60">
        <f t="shared" si="3"/>
      </c>
      <c r="H20" s="60">
        <f t="shared" si="4"/>
      </c>
      <c r="K20" s="53"/>
      <c r="L20" s="53"/>
      <c r="M20" s="53"/>
      <c r="R20" s="53"/>
      <c r="S20" s="53"/>
      <c r="T20" s="48"/>
      <c r="U20" s="49"/>
      <c r="V20" s="49"/>
      <c r="W20" s="48"/>
      <c r="X20" s="49"/>
      <c r="Y20" s="49"/>
    </row>
    <row r="21" spans="1:25" s="47" customFormat="1" x14ac:dyDescent="0.25">
      <c r="A21" s="48"/>
      <c r="B21" s="58">
        <f t="array" ref="B21">IFERROR(INDEX(калькулятор!$K$3:$OJ$3,SMALL(IF(COUNTIF($B$3:B20,калькулятор!$K$3:$OJ$3)=0,COLUMN(калькулятор!$K$3:$OJ$3)-COLUMN(калькулятор!$K$3)+1),1)),"")</f>
      </c>
      <c r="C21" s="59">
        <f>IFERROR(INDEX(калькулятор!$1:$3,1,MATCH(B21,калькулятор!$3:$3,0)),"")</f>
      </c>
      <c r="D21" s="60">
        <f t="shared" si="0"/>
      </c>
      <c r="E21" s="60">
        <f t="shared" si="1"/>
      </c>
      <c r="F21" s="60">
        <f t="shared" si="2"/>
      </c>
      <c r="G21" s="60">
        <f t="shared" si="3"/>
      </c>
      <c r="H21" s="60">
        <f t="shared" si="4"/>
      </c>
      <c r="K21" s="53"/>
      <c r="L21" s="53"/>
      <c r="M21" s="53"/>
      <c r="R21" s="53"/>
      <c r="S21" s="53"/>
      <c r="T21" s="48"/>
      <c r="U21" s="49"/>
      <c r="V21" s="49"/>
      <c r="W21" s="48"/>
      <c r="X21" s="49"/>
      <c r="Y21" s="49"/>
    </row>
    <row r="22" spans="1:25" s="47" customFormat="1" x14ac:dyDescent="0.25">
      <c r="A22" s="48"/>
      <c r="B22" s="58">
        <f t="array" ref="B22">IFERROR(INDEX(калькулятор!$K$3:$OJ$3,SMALL(IF(COUNTIF($B$3:B21,калькулятор!$K$3:$OJ$3)=0,COLUMN(калькулятор!$K$3:$OJ$3)-COLUMN(калькулятор!$K$3)+1),1)),"")</f>
      </c>
      <c r="C22" s="59">
        <f>IFERROR(INDEX(калькулятор!$1:$3,1,MATCH(B22,калькулятор!$3:$3,0)),"")</f>
      </c>
      <c r="D22" s="60">
        <f t="shared" si="0"/>
      </c>
      <c r="E22" s="60">
        <f t="shared" si="1"/>
      </c>
      <c r="F22" s="60">
        <f t="shared" si="2"/>
      </c>
      <c r="G22" s="60">
        <f t="shared" si="3"/>
      </c>
      <c r="H22" s="60">
        <f t="shared" si="4"/>
      </c>
      <c r="K22" s="53"/>
      <c r="L22" s="53"/>
      <c r="M22" s="53"/>
      <c r="R22" s="53"/>
      <c r="S22" s="53"/>
      <c r="T22" s="48"/>
      <c r="U22" s="49"/>
      <c r="V22" s="49"/>
      <c r="W22" s="48"/>
      <c r="X22" s="49"/>
      <c r="Y22" s="49"/>
    </row>
    <row r="23" spans="1:25" s="47" customFormat="1" x14ac:dyDescent="0.25">
      <c r="A23" s="48"/>
      <c r="B23" s="58">
        <f t="array" ref="B23">IFERROR(INDEX(калькулятор!$K$3:$OJ$3,SMALL(IF(COUNTIF($B$3:B22,калькулятор!$K$3:$OJ$3)=0,COLUMN(калькулятор!$K$3:$OJ$3)-COLUMN(калькулятор!$K$3)+1),1)),"")</f>
      </c>
      <c r="C23" s="59">
        <f>IFERROR(INDEX(калькулятор!$1:$3,1,MATCH(B23,калькулятор!$3:$3,0)),"")</f>
      </c>
      <c r="D23" s="60">
        <f t="shared" si="0"/>
      </c>
      <c r="E23" s="60">
        <f t="shared" si="1"/>
      </c>
      <c r="F23" s="60">
        <f t="shared" si="2"/>
      </c>
      <c r="G23" s="60">
        <f t="shared" si="3"/>
      </c>
      <c r="H23" s="60">
        <f t="shared" si="4"/>
      </c>
      <c r="K23" s="53"/>
      <c r="L23" s="53"/>
      <c r="M23" s="53"/>
      <c r="R23" s="53"/>
      <c r="S23" s="53"/>
      <c r="T23" s="48"/>
      <c r="U23" s="49"/>
      <c r="V23" s="49"/>
      <c r="W23" s="48"/>
      <c r="X23" s="49"/>
      <c r="Y23" s="49"/>
    </row>
    <row r="24" spans="1:25" s="47" customFormat="1" x14ac:dyDescent="0.25">
      <c r="A24" s="48"/>
      <c r="B24" s="58">
        <f t="array" ref="B24">IFERROR(INDEX(калькулятор!$K$3:$OJ$3,SMALL(IF(COUNTIF($B$3:B23,калькулятор!$K$3:$OJ$3)=0,COLUMN(калькулятор!$K$3:$OJ$3)-COLUMN(калькулятор!$K$3)+1),1)),"")</f>
      </c>
      <c r="C24" s="59">
        <f>IFERROR(INDEX(калькулятор!$1:$3,1,MATCH(B24,калькулятор!$3:$3,0)),"")</f>
      </c>
      <c r="D24" s="60">
        <f t="shared" si="0"/>
      </c>
      <c r="E24" s="60">
        <f t="shared" si="1"/>
      </c>
      <c r="F24" s="60">
        <f t="shared" si="2"/>
      </c>
      <c r="G24" s="60">
        <f t="shared" si="3"/>
      </c>
      <c r="H24" s="60">
        <f t="shared" si="4"/>
      </c>
      <c r="K24" s="53"/>
      <c r="L24" s="53"/>
      <c r="M24" s="53"/>
      <c r="R24" s="53"/>
      <c r="S24" s="53"/>
      <c r="T24" s="48"/>
      <c r="U24" s="49"/>
      <c r="V24" s="49"/>
      <c r="W24" s="48"/>
      <c r="X24" s="49"/>
      <c r="Y24" s="49"/>
    </row>
    <row r="25" spans="1:25" s="47" customFormat="1" x14ac:dyDescent="0.25">
      <c r="A25" s="48"/>
      <c r="B25" s="58">
        <f t="array" ref="B25">IFERROR(INDEX(калькулятор!$K$3:$OJ$3,SMALL(IF(COUNTIF($B$3:B24,калькулятор!$K$3:$OJ$3)=0,COLUMN(калькулятор!$K$3:$OJ$3)-COLUMN(калькулятор!$K$3)+1),1)),"")</f>
      </c>
      <c r="C25" s="59">
        <f>IFERROR(INDEX(калькулятор!$1:$3,1,MATCH(B25,калькулятор!$3:$3,0)),"")</f>
      </c>
      <c r="D25" s="60">
        <f t="shared" si="0"/>
      </c>
      <c r="E25" s="60">
        <f t="shared" si="1"/>
      </c>
      <c r="F25" s="60">
        <f t="shared" si="2"/>
      </c>
      <c r="G25" s="60">
        <f t="shared" si="3"/>
      </c>
      <c r="H25" s="60">
        <f t="shared" si="4"/>
      </c>
      <c r="K25" s="53"/>
      <c r="L25" s="53"/>
      <c r="M25" s="53"/>
      <c r="R25" s="53"/>
      <c r="S25" s="53"/>
      <c r="T25" s="48"/>
      <c r="U25" s="49"/>
      <c r="V25" s="49"/>
      <c r="W25" s="48"/>
      <c r="X25" s="49"/>
      <c r="Y25" s="49"/>
    </row>
    <row r="26" spans="1:25" s="47" customFormat="1" x14ac:dyDescent="0.25">
      <c r="A26" s="48"/>
      <c r="B26" s="58">
        <f t="array" ref="B26">IFERROR(INDEX(калькулятор!$K$3:$OJ$3,SMALL(IF(COUNTIF($B$3:B25,калькулятор!$K$3:$OJ$3)=0,COLUMN(калькулятор!$K$3:$OJ$3)-COLUMN(калькулятор!$K$3)+1),1)),"")</f>
      </c>
      <c r="C26" s="59">
        <f>IFERROR(INDEX(калькулятор!$1:$3,1,MATCH(B26,калькулятор!$3:$3,0)),"")</f>
      </c>
      <c r="D26" s="60">
        <f t="shared" si="0"/>
      </c>
      <c r="E26" s="60">
        <f t="shared" si="1"/>
      </c>
      <c r="F26" s="60">
        <f t="shared" si="2"/>
      </c>
      <c r="G26" s="60">
        <f t="shared" si="3"/>
      </c>
      <c r="H26" s="60">
        <f t="shared" si="4"/>
      </c>
      <c r="K26" s="53"/>
      <c r="L26" s="53"/>
      <c r="M26" s="53"/>
      <c r="R26" s="53"/>
      <c r="S26" s="53"/>
      <c r="T26" s="48"/>
      <c r="U26" s="49"/>
      <c r="V26" s="49"/>
      <c r="W26" s="48"/>
      <c r="X26" s="49"/>
      <c r="Y26" s="49"/>
    </row>
    <row r="27" spans="1:25" s="47" customFormat="1" x14ac:dyDescent="0.25">
      <c r="A27" s="48"/>
      <c r="B27" s="58">
        <f t="array" ref="B27">IFERROR(INDEX(калькулятор!$K$3:$OJ$3,SMALL(IF(COUNTIF($B$3:B26,калькулятор!$K$3:$OJ$3)=0,COLUMN(калькулятор!$K$3:$OJ$3)-COLUMN(калькулятор!$K$3)+1),1)),"")</f>
      </c>
      <c r="C27" s="59">
        <f>IFERROR(INDEX(калькулятор!$1:$3,1,MATCH(B27,калькулятор!$3:$3,0)),"")</f>
      </c>
      <c r="D27" s="60">
        <f t="shared" si="0"/>
      </c>
      <c r="E27" s="60">
        <f t="shared" si="1"/>
      </c>
      <c r="F27" s="60">
        <f t="shared" si="2"/>
      </c>
      <c r="G27" s="60">
        <f t="shared" si="3"/>
      </c>
      <c r="H27" s="60">
        <f t="shared" si="4"/>
      </c>
      <c r="K27" s="53"/>
      <c r="L27" s="53"/>
      <c r="M27" s="53"/>
      <c r="R27" s="53"/>
      <c r="S27" s="53"/>
      <c r="T27" s="48"/>
      <c r="U27" s="49"/>
      <c r="V27" s="49"/>
      <c r="W27" s="48"/>
      <c r="X27" s="49"/>
      <c r="Y27" s="49"/>
    </row>
    <row r="28" spans="1:25" s="47" customFormat="1" x14ac:dyDescent="0.25">
      <c r="A28" s="48"/>
      <c r="B28" s="58">
        <f t="array" ref="B28">IFERROR(INDEX(калькулятор!$K$3:$OJ$3,SMALL(IF(COUNTIF($B$3:B27,калькулятор!$K$3:$OJ$3)=0,COLUMN(калькулятор!$K$3:$OJ$3)-COLUMN(калькулятор!$K$3)+1),1)),"")</f>
      </c>
      <c r="C28" s="59">
        <f>IFERROR(INDEX(калькулятор!$1:$3,1,MATCH(B28,калькулятор!$3:$3,0)),"")</f>
      </c>
      <c r="D28" s="60">
        <f t="shared" si="0"/>
      </c>
      <c r="E28" s="60">
        <f t="shared" si="1"/>
      </c>
      <c r="F28" s="60">
        <f t="shared" si="2"/>
      </c>
      <c r="G28" s="60">
        <f t="shared" si="3"/>
      </c>
      <c r="H28" s="60">
        <f t="shared" si="4"/>
      </c>
      <c r="K28" s="53"/>
      <c r="L28" s="53"/>
      <c r="M28" s="53"/>
      <c r="R28" s="53"/>
      <c r="S28" s="53"/>
      <c r="T28" s="48"/>
      <c r="U28" s="49"/>
      <c r="V28" s="49"/>
      <c r="W28" s="48"/>
      <c r="X28" s="49"/>
      <c r="Y28" s="49"/>
    </row>
    <row r="29" spans="1:25" x14ac:dyDescent="0.25">
      <c r="B29" s="58">
        <f t="array" ref="B29">IFERROR(INDEX(калькулятор!$K$3:$OJ$3,SMALL(IF(COUNTIF($B$3:B28,калькулятор!$K$3:$OJ$3)=0,COLUMN(калькулятор!$K$3:$OJ$3)-COLUMN(калькулятор!$K$3)+1),1)),"")</f>
      </c>
      <c r="C29" s="59">
        <f>IFERROR(INDEX(калькулятор!$1:$3,1,MATCH(B29,калькулятор!$3:$3,0)),"")</f>
      </c>
      <c r="D29" s="60">
        <f t="shared" si="0"/>
      </c>
      <c r="E29" s="60">
        <f t="shared" si="1"/>
      </c>
      <c r="F29" s="60">
        <f t="shared" si="2"/>
      </c>
      <c r="G29" s="60">
        <f t="shared" si="3"/>
      </c>
      <c r="H29" s="60">
        <f t="shared" si="4"/>
      </c>
    </row>
    <row r="30" spans="1:25" x14ac:dyDescent="0.25">
      <c r="B30" s="58">
        <f t="array" ref="B30">IFERROR(INDEX(калькулятор!$K$3:$OJ$3,SMALL(IF(COUNTIF($B$3:B29,калькулятор!$K$3:$OJ$3)=0,COLUMN(калькулятор!$K$3:$OJ$3)-COLUMN(калькулятор!$K$3)+1),1)),"")</f>
      </c>
      <c r="C30" s="59">
        <f>IFERROR(INDEX(калькулятор!$1:$3,1,MATCH(B30,калькулятор!$3:$3,0)),"")</f>
      </c>
      <c r="D30" s="60">
        <f t="shared" si="0"/>
      </c>
      <c r="E30" s="60">
        <f t="shared" si="1"/>
      </c>
      <c r="F30" s="60">
        <f t="shared" si="2"/>
      </c>
      <c r="G30" s="60">
        <f t="shared" si="3"/>
      </c>
      <c r="H30" s="60">
        <f t="shared" si="4"/>
      </c>
    </row>
    <row r="31" spans="1:25" x14ac:dyDescent="0.25">
      <c r="B31" s="58">
        <f t="array" ref="B31">IFERROR(INDEX(калькулятор!$K$3:$OJ$3,SMALL(IF(COUNTIF($B$3:B30,калькулятор!$K$3:$OJ$3)=0,COLUMN(калькулятор!$K$3:$OJ$3)-COLUMN(калькулятор!$K$3)+1),1)),"")</f>
      </c>
      <c r="C31" s="59">
        <f>IFERROR(INDEX(калькулятор!$1:$3,1,MATCH(B31,калькулятор!$3:$3,0)),"")</f>
      </c>
      <c r="D31" s="60">
        <f t="shared" si="0"/>
      </c>
      <c r="E31" s="60">
        <f t="shared" si="1"/>
      </c>
      <c r="F31" s="60">
        <f t="shared" si="2"/>
      </c>
      <c r="G31" s="60">
        <f t="shared" si="3"/>
      </c>
      <c r="H31" s="60">
        <f t="shared" si="4"/>
      </c>
    </row>
    <row r="32" spans="1:25" x14ac:dyDescent="0.25">
      <c r="B32" s="58">
        <f t="array" ref="B32">IFERROR(INDEX(калькулятор!$K$3:$OJ$3,SMALL(IF(COUNTIF($B$3:B31,калькулятор!$K$3:$OJ$3)=0,COLUMN(калькулятор!$K$3:$OJ$3)-COLUMN(калькулятор!$K$3)+1),1)),"")</f>
      </c>
      <c r="C32" s="59">
        <f>IFERROR(INDEX(калькулятор!$1:$3,1,MATCH(B32,калькулятор!$3:$3,0)),"")</f>
      </c>
      <c r="D32" s="60">
        <f t="shared" si="0"/>
      </c>
      <c r="E32" s="60">
        <f t="shared" si="1"/>
      </c>
      <c r="F32" s="60">
        <f t="shared" si="2"/>
      </c>
      <c r="G32" s="60">
        <f t="shared" si="3"/>
      </c>
      <c r="H32" s="60">
        <f t="shared" si="4"/>
      </c>
    </row>
    <row r="33" spans="2:25" x14ac:dyDescent="0.25">
      <c r="B33" s="58">
        <f t="array" ref="B33">IFERROR(INDEX(калькулятор!$K$3:$OJ$3,SMALL(IF(COUNTIF($B$3:B32,калькулятор!$K$3:$OJ$3)=0,COLUMN(калькулятор!$K$3:$OJ$3)-COLUMN(калькулятор!$K$3)+1),1)),"")</f>
      </c>
      <c r="C33" s="59">
        <f>IFERROR(INDEX(калькулятор!$1:$3,1,MATCH(B33,калькулятор!$3:$3,0)),"")</f>
      </c>
      <c r="D33" s="60">
        <f t="shared" si="0"/>
      </c>
      <c r="E33" s="60">
        <f t="shared" si="1"/>
      </c>
      <c r="F33" s="60">
        <f t="shared" si="2"/>
      </c>
      <c r="G33" s="60">
        <f t="shared" si="3"/>
      </c>
      <c r="H33" s="60">
        <f t="shared" si="4"/>
      </c>
    </row>
    <row r="34" spans="2:25" x14ac:dyDescent="0.25">
      <c r="B34" s="58">
        <f t="array" ref="B34">IFERROR(INDEX(калькулятор!$K$3:$OJ$3,SMALL(IF(COUNTIF($B$3:B33,калькулятор!$K$3:$OJ$3)=0,COLUMN(калькулятор!$K$3:$OJ$3)-COLUMN(калькулятор!$K$3)+1),1)),"")</f>
      </c>
      <c r="C34" s="59">
        <f>IFERROR(INDEX(калькулятор!$1:$3,1,MATCH(B34,калькулятор!$3:$3,0)),"")</f>
      </c>
      <c r="D34" s="60">
        <f t="shared" si="0"/>
      </c>
      <c r="E34" s="60">
        <f t="shared" si="1"/>
      </c>
      <c r="F34" s="60">
        <f t="shared" si="2"/>
      </c>
      <c r="G34" s="60">
        <f t="shared" si="3"/>
      </c>
      <c r="H34" s="60">
        <f t="shared" si="4"/>
      </c>
    </row>
    <row r="35" spans="2:25" x14ac:dyDescent="0.25">
      <c r="B35" s="58">
        <f t="array" ref="B35">IFERROR(INDEX(калькулятор!$K$3:$OJ$3,SMALL(IF(COUNTIF($B$3:B34,калькулятор!$K$3:$OJ$3)=0,COLUMN(калькулятор!$K$3:$OJ$3)-COLUMN(калькулятор!$K$3)+1),1)),"")</f>
      </c>
      <c r="C35" s="59">
        <f>IFERROR(INDEX(калькулятор!$1:$3,1,MATCH(B35,калькулятор!$3:$3,0)),"")</f>
      </c>
      <c r="D35" s="60">
        <f t="shared" si="0"/>
      </c>
      <c r="E35" s="60">
        <f t="shared" si="1"/>
      </c>
      <c r="F35" s="60">
        <f t="shared" si="2"/>
      </c>
      <c r="G35" s="60">
        <f t="shared" si="3"/>
      </c>
      <c r="H35" s="60">
        <f t="shared" si="4"/>
      </c>
    </row>
    <row r="36" spans="2:25" x14ac:dyDescent="0.25">
      <c r="B36" s="58">
        <f t="array" ref="B36">IFERROR(INDEX(калькулятор!$K$3:$OJ$3,SMALL(IF(COUNTIF($B$3:B35,калькулятор!$K$3:$OJ$3)=0,COLUMN(калькулятор!$K$3:$OJ$3)-COLUMN(калькулятор!$K$3)+1),1)),"")</f>
      </c>
      <c r="C36" s="59">
        <f>IFERROR(INDEX(калькулятор!$1:$3,1,MATCH(B36,калькулятор!$3:$3,0)),"")</f>
      </c>
      <c r="D36" s="60">
        <f t="shared" si="0"/>
      </c>
      <c r="E36" s="60">
        <f t="shared" si="1"/>
      </c>
      <c r="F36" s="60">
        <f t="shared" si="2"/>
      </c>
      <c r="G36" s="60">
        <f t="shared" si="3"/>
      </c>
      <c r="H36" s="60">
        <f t="shared" si="4"/>
      </c>
    </row>
    <row r="37" spans="2:25" x14ac:dyDescent="0.25">
      <c r="B37" s="58">
        <f t="array" ref="B37">IFERROR(INDEX(калькулятор!$K$3:$OJ$3,SMALL(IF(COUNTIF($B$3:B36,калькулятор!$K$3:$OJ$3)=0,COLUMN(калькулятор!$K$3:$OJ$3)-COLUMN(калькулятор!$K$3)+1),1)),"")</f>
      </c>
      <c r="C37" s="59">
        <f>IFERROR(INDEX(калькулятор!$1:$3,1,MATCH(B37,калькулятор!$3:$3,0)),"")</f>
      </c>
      <c r="D37" s="60">
        <f t="shared" si="0"/>
      </c>
      <c r="E37" s="60">
        <f t="shared" si="1"/>
      </c>
      <c r="F37" s="60">
        <f t="shared" si="2"/>
      </c>
      <c r="G37" s="60">
        <f t="shared" si="3"/>
      </c>
      <c r="H37" s="60">
        <f t="shared" si="4"/>
      </c>
    </row>
    <row r="38" spans="2:25" ht="15.75" thickBot="1" x14ac:dyDescent="0.3">
      <c r="C38" s="61"/>
    </row>
    <row r="39" spans="2:25" s="71" customFormat="1" ht="30" customHeight="1" thickBot="1" x14ac:dyDescent="0.3">
      <c r="B39" s="62">
        <f t="array" ref="B39">INDEX($B$6:$B$37,SMALL(IF(COUNTIF($B$38:$B38,$B$6:$B$37)=0,ROW($B$6:$B$37)-ROW($B$6)+1),1))</f>
      </c>
      <c r="C39" s="63">
        <f>INDEX(калькулятор!$1:$3,1,MATCH(B39,калькулятор!$3:$3,0))</f>
      </c>
      <c r="D39" s="64"/>
      <c r="E39" s="64"/>
      <c r="F39" s="65"/>
      <c r="G39" s="65"/>
      <c r="H39" s="65"/>
      <c r="I39" s="66" t="s">
        <v>72</v>
      </c>
      <c r="J39" s="64" t="s">
        <v>80</v>
      </c>
      <c r="K39" s="67">
        <f>SUM(K46:K69)</f>
      </c>
      <c r="L39" s="68"/>
      <c r="M39" s="68"/>
      <c r="N39" s="67">
        <f>SUM(N46:N69)</f>
      </c>
      <c r="O39" s="68"/>
      <c r="P39" s="68"/>
      <c r="Q39" s="67">
        <f>SUM(Q46:Q69)</f>
      </c>
      <c r="R39" s="69"/>
      <c r="S39" s="70"/>
      <c r="U39" s="72"/>
      <c r="V39" s="72"/>
      <c r="X39" s="72"/>
      <c r="Y39" s="72"/>
    </row>
    <row r="40" spans="2:25" x14ac:dyDescent="0.25">
      <c r="B40" s="73"/>
      <c r="C40" s="74" t="s">
        <v>6</v>
      </c>
      <c r="D40" s="75">
        <f>HLOOKUP(B39,калькулятор!$3:$14,5,0)</f>
      </c>
      <c r="E40" s="76"/>
      <c r="F40" s="74"/>
      <c r="G40" s="74"/>
      <c r="H40" s="74"/>
      <c r="I40" s="74"/>
      <c r="J40" s="76"/>
      <c r="K40" s="76"/>
      <c r="L40" s="74"/>
      <c r="M40" s="74"/>
      <c r="N40" s="74"/>
      <c r="O40" s="74"/>
      <c r="P40" s="74"/>
      <c r="Q40" s="76"/>
      <c r="R40" s="76"/>
      <c r="S40" s="77"/>
    </row>
    <row r="41" spans="2:25" x14ac:dyDescent="0.25">
      <c r="B41" s="78"/>
      <c r="C41" s="74"/>
      <c r="D41" s="76"/>
      <c r="E41" s="76"/>
      <c r="F41" s="74"/>
      <c r="G41" s="74"/>
      <c r="H41" s="74"/>
      <c r="I41" s="74"/>
      <c r="J41" s="76"/>
      <c r="K41" s="76"/>
      <c r="L41" s="74"/>
      <c r="M41" s="74"/>
      <c r="N41" s="74"/>
      <c r="O41" s="74"/>
      <c r="P41" s="74"/>
      <c r="Q41" s="76"/>
      <c r="R41" s="76"/>
      <c r="S41" s="77"/>
    </row>
    <row r="42" spans="2:25" x14ac:dyDescent="0.25">
      <c r="B42" s="79"/>
      <c r="C42" s="74"/>
      <c r="D42" s="76"/>
      <c r="E42" s="76"/>
      <c r="F42" s="74"/>
      <c r="G42" s="74"/>
      <c r="H42" s="74"/>
      <c r="I42" s="74"/>
      <c r="J42" s="76"/>
      <c r="K42" s="76"/>
      <c r="L42" s="74"/>
      <c r="M42" s="74"/>
      <c r="N42" s="74"/>
      <c r="O42" s="74"/>
      <c r="P42" s="74"/>
      <c r="Q42" s="76"/>
      <c r="R42" s="76"/>
      <c r="S42" s="77"/>
    </row>
    <row r="43" spans="2:25" ht="29.45" customHeight="1" x14ac:dyDescent="0.25">
      <c r="B43" s="80"/>
      <c r="C43" s="74"/>
      <c r="D43" s="76"/>
      <c r="E43" s="81"/>
      <c r="F43" s="50"/>
      <c r="G43" s="50"/>
      <c r="H43" s="74"/>
      <c r="I43" s="290">
        <f>IF(OR(C39="КУПК",C39="КУПК (РП/ЗРП)"),"1 выплата (50%)","Выплата")</f>
      </c>
      <c r="J43" s="291"/>
      <c r="K43" s="292"/>
      <c r="L43" s="290">
        <f>IF(OR(C39="КУПК",C39="КУПК (РП/ЗРП)"),"2 выплата (25%)","Выплата")</f>
      </c>
      <c r="M43" s="291"/>
      <c r="N43" s="293"/>
      <c r="O43" s="294">
        <f>IF(OR(C39="КУПК",C39="КУПК (РП/ЗРП)"),"3 выплата (25%)","Выплата")</f>
      </c>
      <c r="P43" s="291"/>
      <c r="Q43" s="293"/>
      <c r="R43" s="76"/>
      <c r="S43" s="77"/>
      <c r="T43" s="49"/>
      <c r="V43" s="48"/>
      <c r="W43" s="49"/>
      <c r="Y43" s="48"/>
    </row>
    <row r="44" spans="2:25" ht="30" x14ac:dyDescent="0.25">
      <c r="B44" s="82"/>
      <c r="C44" s="50" t="s">
        <v>81</v>
      </c>
      <c r="D44" s="83">
        <f>HLOOKUP(B39,калькулятор!$3:$5,3,0)</f>
      </c>
      <c r="E44" s="50"/>
      <c r="F44" s="50"/>
      <c r="G44" s="50"/>
      <c r="H44" s="74"/>
      <c r="I44" s="84" t="s">
        <v>82</v>
      </c>
      <c r="J44" s="85"/>
      <c r="K44" s="86">
        <f>D67</f>
      </c>
      <c r="L44" s="87" t="s">
        <v>82</v>
      </c>
      <c r="M44" s="87"/>
      <c r="N44" s="87">
        <f>D68</f>
      </c>
      <c r="O44" s="87" t="s">
        <v>82</v>
      </c>
      <c r="P44" s="87"/>
      <c r="Q44" s="87">
        <f>D69</f>
      </c>
      <c r="R44" s="76"/>
      <c r="S44" s="77"/>
      <c r="T44" s="49"/>
      <c r="V44" s="48"/>
      <c r="W44" s="49"/>
      <c r="Y44" s="48"/>
    </row>
    <row r="45" spans="2:25" ht="67.5" x14ac:dyDescent="0.25">
      <c r="B45" s="88" t="s">
        <v>83</v>
      </c>
      <c r="C45" s="89" t="s">
        <v>84</v>
      </c>
      <c r="D45" s="90" t="s">
        <v>85</v>
      </c>
      <c r="E45" s="90" t="s">
        <v>7</v>
      </c>
      <c r="F45" s="91" t="s">
        <v>86</v>
      </c>
      <c r="G45" s="50"/>
      <c r="H45" s="92"/>
      <c r="I45" s="93" t="s">
        <v>8</v>
      </c>
      <c r="J45" s="87" t="s">
        <v>9</v>
      </c>
      <c r="K45" s="94" t="s">
        <v>10</v>
      </c>
      <c r="L45" s="93" t="s">
        <v>8</v>
      </c>
      <c r="M45" s="87" t="s">
        <v>9</v>
      </c>
      <c r="N45" s="95" t="s">
        <v>10</v>
      </c>
      <c r="O45" s="96" t="s">
        <v>8</v>
      </c>
      <c r="P45" s="87" t="s">
        <v>9</v>
      </c>
      <c r="Q45" s="95" t="s">
        <v>10</v>
      </c>
      <c r="R45" s="76"/>
      <c r="S45" s="77"/>
      <c r="T45" s="49"/>
      <c r="V45" s="48"/>
      <c r="W45" s="49"/>
      <c r="Y45" s="48"/>
    </row>
    <row r="46" spans="2:25" x14ac:dyDescent="0.25">
      <c r="B46" s="236">
        <f>IF(AND(калькулятор!D$16&gt;0,калькулятор!D$16&lt;&gt;"Ключевая"),калькулятор!E$16,"")</f>
      </c>
      <c r="C46" s="97">
        <f>IFERROR(VLOOKUP(B46,калькулятор!E:OJ,MATCH($B39,калькулятор!$3:$3,0)-5,0),"")</f>
      </c>
      <c r="D46" s="98">
        <f>IFERROR(IF(VLOOKUP(B46,калькулятор!E:J,6,0)=0,"",VLOOKUP(B46,калькулятор!E:J,6,0)),"")</f>
      </c>
      <c r="E46" s="99">
        <f>IF(B46="Финальная веха*",0,IF(D46="","",IF(B46="","",IFERROR(C46/67*33,""))))</f>
      </c>
      <c r="F46" s="100"/>
      <c r="G46" s="50"/>
      <c r="H46" s="76"/>
      <c r="I46" s="101"/>
      <c r="J46" s="102">
        <f>IFERROR(K44-D46,"")</f>
      </c>
      <c r="K46" s="103">
        <f>IFERROR(IF(OR(C39="КУПК",C39="КУПК (РП/ЗРП)"),E46*I46/365*J46*0.5,E46*I46/365*J46),"")</f>
      </c>
      <c r="L46" s="101">
        <f>I46</f>
      </c>
      <c r="M46" s="102">
        <f>IFERROR(N44-$D46,"")</f>
      </c>
      <c r="N46" s="103">
        <f>IFERROR(IF(OR(C39="КУПК",C39="КУПК (РП/ЗРП)"),E46*L46/365*M46*0.25,0),"")</f>
      </c>
      <c r="O46" s="104">
        <f>I46</f>
      </c>
      <c r="P46" s="102">
        <f>IFERROR(Q44-$D46,"")</f>
      </c>
      <c r="Q46" s="103">
        <f>IFERROR(IF(OR(C39="КУПК",C39="КУПК (РП/ЗРП)"),E46*O46/365*P46*0.25,0),"")</f>
      </c>
      <c r="R46" s="76"/>
      <c r="S46" s="77"/>
      <c r="T46" s="49"/>
      <c r="V46" s="48"/>
      <c r="W46" s="49"/>
      <c r="Y46" s="48"/>
    </row>
    <row r="47" spans="2:25" x14ac:dyDescent="0.25">
      <c r="B47" s="236">
        <f>IF(AND(калькулятор!D$17&gt;0,калькулятор!D$17&lt;&gt;"Ключевая"),калькулятор!E$17,"")</f>
      </c>
      <c r="C47" s="97">
        <f>IFERROR(VLOOKUP(B47,калькулятор!E:OJ,MATCH($B39,калькулятор!$3:$3,0)-5,0),"")</f>
      </c>
      <c r="D47" s="98">
        <f>IFERROR(IF(VLOOKUP(B47,калькулятор!E:J,6,0)=0,"",VLOOKUP(B47,калькулятор!E:J,6,0)),"")</f>
      </c>
      <c r="E47" s="99">
        <f t="shared" ref="E47:E65" si="5">IF(B47="Финальная веха*",0,IF(D47="","",IF(B47="","",IFERROR(C47/67*33,""))))</f>
      </c>
      <c r="F47" s="100"/>
      <c r="G47" s="50"/>
      <c r="H47" s="76"/>
      <c r="I47" s="101"/>
      <c r="J47" s="102">
        <f>IFERROR(K44-D47,"")</f>
      </c>
      <c r="K47" s="103">
        <f>IFERROR(IF(OR(C39="КУПК",C39="КУПК (РП/ЗРП)"),E47*I47/365*J47*0.5,E47*I47/365*J47),"")</f>
      </c>
      <c r="L47" s="101">
        <f t="shared" ref="L47:L65" si="6">I47</f>
      </c>
      <c r="M47" s="102">
        <f>IFERROR(N44-$D47,"")</f>
      </c>
      <c r="N47" s="103">
        <f>IFERROR(IF(OR(C39="КУПК",C39="КУПК (РП/ЗРП)"),E47*L47/365*M47*0.25,0),"")</f>
      </c>
      <c r="O47" s="104">
        <f t="shared" ref="O47:O65" si="7">I47</f>
      </c>
      <c r="P47" s="102">
        <f>IFERROR(Q44-$D47,"")</f>
      </c>
      <c r="Q47" s="103">
        <f>IFERROR(IF(OR(C39="КУПК",C39="КУПК (РП/ЗРП)"),E47*O47/365*P47*0.25,0),"")</f>
      </c>
      <c r="R47" s="76"/>
      <c r="S47" s="77"/>
      <c r="T47" s="49"/>
      <c r="V47" s="48"/>
      <c r="W47" s="49"/>
      <c r="Y47" s="48"/>
    </row>
    <row r="48" spans="2:25" x14ac:dyDescent="0.25">
      <c r="B48" s="236">
        <f>IF(AND(калькулятор!D$18&gt;0,калькулятор!D$18&lt;&gt;"Ключевая"),калькулятор!E$18,"")</f>
      </c>
      <c r="C48" s="97">
        <f>IFERROR(VLOOKUP(B48,калькулятор!E:OJ,MATCH($B39,калькулятор!$3:$3,0)-5,0),"")</f>
      </c>
      <c r="D48" s="98">
        <f>IFERROR(IF(VLOOKUP(B48,калькулятор!E:J,6,0)=0,"",VLOOKUP(B48,калькулятор!E:J,6,0)),"")</f>
      </c>
      <c r="E48" s="99">
        <f t="shared" si="5"/>
      </c>
      <c r="F48" s="100"/>
      <c r="G48" s="50"/>
      <c r="H48" s="76"/>
      <c r="I48" s="101"/>
      <c r="J48" s="102">
        <f>IFERROR(K44-D48,"")</f>
      </c>
      <c r="K48" s="103">
        <f>IFERROR(IF(OR(C39="КУПК",C39="КУПК (РП/ЗРП)"),E48*I48/365*J48*0.5,E48*I48/365*J48),"")</f>
      </c>
      <c r="L48" s="101">
        <f t="shared" si="6"/>
      </c>
      <c r="M48" s="102">
        <f>IFERROR(N44-$D48,"")</f>
      </c>
      <c r="N48" s="103">
        <f>IFERROR(IF(OR(C39="КУПК",C39="КУПК (РП/ЗРП)"),E48*L48/365*M48*0.25,0),"")</f>
      </c>
      <c r="O48" s="104">
        <f t="shared" si="7"/>
      </c>
      <c r="P48" s="102">
        <f>IFERROR(Q44-$D48,"")</f>
      </c>
      <c r="Q48" s="103">
        <f>IFERROR(IF(OR(C39="КУПК",C39="КУПК (РП/ЗРП)"),E48*O48/365*P48*0.25,0),"")</f>
      </c>
      <c r="R48" s="76"/>
      <c r="S48" s="77"/>
      <c r="T48" s="49"/>
      <c r="V48" s="48"/>
      <c r="W48" s="49"/>
      <c r="Y48" s="48"/>
    </row>
    <row r="49" spans="2:25" x14ac:dyDescent="0.25">
      <c r="B49" s="236">
        <f>IF(AND(калькулятор!D$19&gt;0,калькулятор!D$19&lt;&gt;"Ключевая"),калькулятор!E$19,"")</f>
      </c>
      <c r="C49" s="97">
        <f>IFERROR(VLOOKUP(B49,калькулятор!E:OJ,MATCH($B39,калькулятор!$3:$3,0)-5,0),"")</f>
      </c>
      <c r="D49" s="98">
        <f>IFERROR(IF(VLOOKUP(B49,калькулятор!E:J,6,0)=0,"",VLOOKUP(B49,калькулятор!E:J,6,0)),"")</f>
      </c>
      <c r="E49" s="99">
        <f t="shared" si="5"/>
      </c>
      <c r="F49" s="100"/>
      <c r="G49" s="50"/>
      <c r="H49" s="76"/>
      <c r="I49" s="101"/>
      <c r="J49" s="102">
        <f>IFERROR(K44-D49,"")</f>
      </c>
      <c r="K49" s="103">
        <f>IFERROR(IF(OR(C39="КУПК",C39="КУПК (РП/ЗРП)"),E49*I49/365*J49*0.5,E49*I49/365*J49),"")</f>
      </c>
      <c r="L49" s="101">
        <f t="shared" si="6"/>
      </c>
      <c r="M49" s="102">
        <f>IFERROR(N44-$D49,"")</f>
      </c>
      <c r="N49" s="103">
        <f>IFERROR(IF(OR(C39="КУПК",C39="КУПК (РП/ЗРП)"),E49*L49/365*M49*0.25,0),"")</f>
      </c>
      <c r="O49" s="104">
        <f t="shared" si="7"/>
      </c>
      <c r="P49" s="102">
        <f>IFERROR(Q44-$D49,"")</f>
      </c>
      <c r="Q49" s="103">
        <f>IFERROR(IF(OR(C39="КУПК",C39="КУПК (РП/ЗРП)"),E49*O49/365*P49*0.25,0),"")</f>
      </c>
      <c r="R49" s="76"/>
      <c r="S49" s="77"/>
      <c r="T49" s="49"/>
      <c r="V49" s="48"/>
      <c r="W49" s="49"/>
      <c r="Y49" s="48"/>
    </row>
    <row r="50" spans="2:25" x14ac:dyDescent="0.25">
      <c r="B50" s="236">
        <f>IF(AND(калькулятор!D$20&gt;0,калькулятор!D$20&lt;&gt;"Ключевая"),калькулятор!E$20,"")</f>
      </c>
      <c r="C50" s="97">
        <f>IFERROR(VLOOKUP(B50,калькулятор!E:OJ,MATCH($B39,калькулятор!$3:$3,0)-5,0),"")</f>
      </c>
      <c r="D50" s="98">
        <f>IFERROR(IF(VLOOKUP(B50,калькулятор!E:J,6,0)=0,"",VLOOKUP(B50,калькулятор!E:J,6,0)),"")</f>
      </c>
      <c r="E50" s="99">
        <f t="shared" si="5"/>
      </c>
      <c r="F50" s="105"/>
      <c r="G50" s="50"/>
      <c r="H50" s="76"/>
      <c r="I50" s="101"/>
      <c r="J50" s="102">
        <f>IFERROR(K44-D50,"")</f>
      </c>
      <c r="K50" s="103">
        <f>IFERROR(IF(OR(C39="КУПК",C39="КУПК (РП/ЗРП)"),E50*I50/365*J50*0.5,E50*I50/365*J50),"")</f>
      </c>
      <c r="L50" s="101">
        <f t="shared" si="6"/>
      </c>
      <c r="M50" s="102">
        <f>IFERROR(N44-$D50,"")</f>
      </c>
      <c r="N50" s="103">
        <f>IFERROR(IF(OR(C39="КУПК",C39="КУПК (РП/ЗРП)"),E50*L50/365*M50*0.25,0),"")</f>
      </c>
      <c r="O50" s="104">
        <f t="shared" si="7"/>
      </c>
      <c r="P50" s="102">
        <f>IFERROR(Q44-$D50,"")</f>
      </c>
      <c r="Q50" s="103">
        <f>IFERROR(IF(OR(C39="КУПК",C39="КУПК (РП/ЗРП)"),E50*O50/365*P50*0.25,0),"")</f>
      </c>
      <c r="R50" s="76"/>
      <c r="S50" s="77"/>
      <c r="T50" s="49"/>
      <c r="V50" s="48"/>
      <c r="W50" s="49"/>
      <c r="Y50" s="48"/>
    </row>
    <row r="51" spans="2:25" x14ac:dyDescent="0.25">
      <c r="B51" s="236">
        <f>IF(AND(калькулятор!D$21&gt;0,калькулятор!D$21&lt;&gt;"Ключевая"),калькулятор!E$21,"")</f>
      </c>
      <c r="C51" s="97">
        <f>IFERROR(VLOOKUP(B51,калькулятор!E:OJ,MATCH($B39,калькулятор!$3:$3,0)-5,0),"")</f>
      </c>
      <c r="D51" s="98">
        <f>IFERROR(IF(VLOOKUP(B51,калькулятор!E:J,6,0)=0,"",VLOOKUP(B51,калькулятор!E:J,6,0)),"")</f>
      </c>
      <c r="E51" s="99">
        <f t="shared" si="5"/>
      </c>
      <c r="F51" s="100"/>
      <c r="G51" s="50"/>
      <c r="H51" s="76"/>
      <c r="I51" s="101"/>
      <c r="J51" s="102">
        <f>IFERROR(K44-D51,"")</f>
      </c>
      <c r="K51" s="103">
        <f>IFERROR(IF(OR(C39="КУПК",C39="КУПК (РП/ЗРП)"),E51*I51/365*J51*0.5,E51*I51/365*J51),"")</f>
      </c>
      <c r="L51" s="101">
        <f t="shared" si="6"/>
      </c>
      <c r="M51" s="102">
        <f>IFERROR(N44-$D51,"")</f>
      </c>
      <c r="N51" s="103">
        <f>IFERROR(IF(OR(C39="КУПК",C39="КУПК (РП/ЗРП)"),E51*L51/365*M51*0.25,0),"")</f>
      </c>
      <c r="O51" s="104">
        <f t="shared" si="7"/>
      </c>
      <c r="P51" s="102">
        <f>IFERROR(Q44-$D51,"")</f>
      </c>
      <c r="Q51" s="103">
        <f>IFERROR(IF(OR(C39="КУПК",C39="КУПК (РП/ЗРП)"),E51*O51/365*P51*0.25,0),"")</f>
      </c>
      <c r="R51" s="76"/>
      <c r="S51" s="77"/>
      <c r="T51" s="49"/>
      <c r="V51" s="48"/>
      <c r="W51" s="49"/>
      <c r="Y51" s="48"/>
    </row>
    <row r="52" spans="2:25" x14ac:dyDescent="0.25">
      <c r="B52" s="236">
        <f>IF(AND(калькулятор!D$22&gt;0,калькулятор!D$22&lt;&gt;"Ключевая"),калькулятор!E$22,"")</f>
      </c>
      <c r="C52" s="97">
        <f>IFERROR(VLOOKUP(B52,калькулятор!E:OJ,MATCH($B39,калькулятор!$3:$3,0)-5,0),"")</f>
      </c>
      <c r="D52" s="98">
        <f>IFERROR(IF(VLOOKUP(B52,калькулятор!E:J,6,0)=0,"",VLOOKUP(B52,калькулятор!E:J,6,0)),"")</f>
      </c>
      <c r="E52" s="99">
        <f t="shared" si="5"/>
      </c>
      <c r="F52" s="100"/>
      <c r="G52" s="50"/>
      <c r="H52" s="76"/>
      <c r="I52" s="101"/>
      <c r="J52" s="102">
        <f>IFERROR(K44-D52,"")</f>
      </c>
      <c r="K52" s="103">
        <f>IFERROR(IF(OR(C39="КУПК",C39="КУПК (РП/ЗРП)"),E52*I52/365*J52*0.5,E52*I52/365*J52),"")</f>
      </c>
      <c r="L52" s="101">
        <f t="shared" si="6"/>
      </c>
      <c r="M52" s="102">
        <f>IFERROR(N44-$D52,"")</f>
      </c>
      <c r="N52" s="103">
        <f>IFERROR(IF(OR(C39="КУПК",C39="КУПК (РП/ЗРП)"),E52*L52/365*M52*0.25,0),"")</f>
      </c>
      <c r="O52" s="104">
        <f t="shared" si="7"/>
      </c>
      <c r="P52" s="102">
        <f>IFERROR(Q44-$D52,"")</f>
      </c>
      <c r="Q52" s="103">
        <f>IFERROR(IF(OR(C39="КУПК",C39="КУПК (РП/ЗРП)"),E52*O52/365*P52*0.25,0),"")</f>
      </c>
      <c r="R52" s="76"/>
      <c r="S52" s="77"/>
      <c r="T52" s="49"/>
      <c r="V52" s="48"/>
      <c r="W52" s="49"/>
      <c r="Y52" s="48"/>
    </row>
    <row r="53" spans="2:25" x14ac:dyDescent="0.25">
      <c r="B53" s="236">
        <f>IF(AND(калькулятор!D$23&gt;0,калькулятор!D$23&lt;&gt;"Ключевая"),калькулятор!E$23,"")</f>
      </c>
      <c r="C53" s="97">
        <f>IFERROR(VLOOKUP(B53,калькулятор!E:OJ,MATCH($B39,калькулятор!$3:$3,0)-5,0),"")</f>
      </c>
      <c r="D53" s="98">
        <f>IFERROR(IF(VLOOKUP(B53,калькулятор!E:J,6,0)=0,"",VLOOKUP(B53,калькулятор!E:J,6,0)),"")</f>
      </c>
      <c r="E53" s="99">
        <f t="shared" si="5"/>
      </c>
      <c r="F53" s="100"/>
      <c r="G53" s="50"/>
      <c r="H53" s="76"/>
      <c r="I53" s="101"/>
      <c r="J53" s="102">
        <f>IFERROR(K44-D53,"")</f>
      </c>
      <c r="K53" s="103">
        <f>IFERROR(IF(OR(C39="КУПК",C39="КУПК (РП/ЗРП)"),E53*I53/365*J53*0.5,E53*I53/365*J53),"")</f>
      </c>
      <c r="L53" s="101">
        <f t="shared" si="6"/>
      </c>
      <c r="M53" s="102">
        <f>IFERROR(N44-$D53,"")</f>
      </c>
      <c r="N53" s="103">
        <f>IFERROR(IF(OR(C39="КУПК",C39="КУПК (РП/ЗРП)"),E53*L53/365*M53*0.25,0),"")</f>
      </c>
      <c r="O53" s="104">
        <f t="shared" si="7"/>
      </c>
      <c r="P53" s="102">
        <f>IFERROR(Q44-$D53,"")</f>
      </c>
      <c r="Q53" s="103">
        <f>IFERROR(IF(OR(C39="КУПК",C39="КУПК (РП/ЗРП)"),E53*O53/365*P53*0.25,0),"")</f>
      </c>
      <c r="R53" s="76"/>
      <c r="S53" s="77"/>
      <c r="T53" s="49"/>
      <c r="V53" s="48"/>
      <c r="W53" s="49"/>
      <c r="Y53" s="48"/>
    </row>
    <row r="54" spans="2:25" x14ac:dyDescent="0.25">
      <c r="B54" s="236">
        <f>IF(AND(калькулятор!D$24&gt;0,калькулятор!D$24&lt;&gt;"Ключевая"),калькулятор!E$24,"")</f>
      </c>
      <c r="C54" s="97">
        <f>IFERROR(VLOOKUP(B54,калькулятор!E:OJ,MATCH($B39,калькулятор!$3:$3,0)-5,0),"")</f>
      </c>
      <c r="D54" s="98">
        <f>IFERROR(IF(VLOOKUP(B54,калькулятор!E:J,6,0)=0,"",VLOOKUP(B54,калькулятор!E:J,6,0)),"")</f>
      </c>
      <c r="E54" s="99">
        <f t="shared" si="5"/>
      </c>
      <c r="F54" s="100"/>
      <c r="G54" s="50"/>
      <c r="H54" s="76"/>
      <c r="I54" s="101"/>
      <c r="J54" s="102">
        <f>IFERROR(K44-D54,"")</f>
      </c>
      <c r="K54" s="103">
        <f>IFERROR(IF(OR(C39="КУПК",C39="КУПК (РП/ЗРП)"),E54*I54/365*J54*0.5,E54*I54/365*J54),"")</f>
      </c>
      <c r="L54" s="101">
        <f t="shared" si="6"/>
      </c>
      <c r="M54" s="102">
        <f>IFERROR(N44-$D54,"")</f>
      </c>
      <c r="N54" s="103">
        <f>IFERROR(IF(OR(C39="КУПК",C39="КУПК (РП/ЗРП)"),E54*L54/365*M54*0.25,0),"")</f>
      </c>
      <c r="O54" s="104">
        <f t="shared" si="7"/>
      </c>
      <c r="P54" s="102">
        <f>IFERROR(Q44-$D54,"")</f>
      </c>
      <c r="Q54" s="103">
        <f>IFERROR(IF(OR(C39="КУПК",C39="КУПК (РП/ЗРП)"),E54*O54/365*P54*0.25,0),"")</f>
      </c>
      <c r="R54" s="76"/>
      <c r="S54" s="77"/>
      <c r="T54" s="49"/>
      <c r="V54" s="48"/>
      <c r="W54" s="49"/>
      <c r="Y54" s="48"/>
    </row>
    <row r="55" spans="2:25" x14ac:dyDescent="0.25">
      <c r="B55" s="236">
        <f>IF(AND(калькулятор!D$25&gt;0,калькулятор!D$25&lt;&gt;"Ключевая"),калькулятор!E$25,"")</f>
      </c>
      <c r="C55" s="97">
        <f>IFERROR(VLOOKUP(B55,калькулятор!E:OJ,MATCH($B39,калькулятор!$3:$3,0)-5,0),"")</f>
      </c>
      <c r="D55" s="98">
        <f>IFERROR(IF(VLOOKUP(B55,калькулятор!E:J,6,0)=0,"",VLOOKUP(B55,калькулятор!E:J,6,0)),"")</f>
      </c>
      <c r="E55" s="99">
        <f t="shared" si="5"/>
      </c>
      <c r="F55" s="100"/>
      <c r="G55" s="50"/>
      <c r="H55" s="76"/>
      <c r="I55" s="101"/>
      <c r="J55" s="102">
        <f>IFERROR(K44-D55,"")</f>
      </c>
      <c r="K55" s="103">
        <f>IFERROR(IF(OR(C39="КУПК",C39="КУПК (РП/ЗРП)"),E55*I55/365*J55*0.5,E55*I55/365*J55),"")</f>
      </c>
      <c r="L55" s="101">
        <f t="shared" si="6"/>
      </c>
      <c r="M55" s="102">
        <f>IFERROR(N44-$D55,"")</f>
      </c>
      <c r="N55" s="103">
        <f>IFERROR(IF(OR(C39="КУПК",C39="КУПК (РП/ЗРП)"),E55*L55/365*M55*0.25,0),"")</f>
      </c>
      <c r="O55" s="104">
        <f t="shared" si="7"/>
      </c>
      <c r="P55" s="102">
        <f>IFERROR(Q44-$D55,"")</f>
      </c>
      <c r="Q55" s="103">
        <f>IFERROR(IF(OR(C39="КУПК",C39="КУПК (РП/ЗРП)"),E55*O55/365*P55*0.25,0),"")</f>
      </c>
      <c r="R55" s="76"/>
      <c r="S55" s="77"/>
      <c r="T55" s="49"/>
      <c r="V55" s="48"/>
      <c r="W55" s="49"/>
      <c r="Y55" s="48"/>
    </row>
    <row r="56" spans="2:25" x14ac:dyDescent="0.25">
      <c r="B56" s="236">
        <f>IF(AND(калькулятор!D$26&gt;0,калькулятор!D$26&lt;&gt;"Ключевая"),калькулятор!E$26,"")</f>
      </c>
      <c r="C56" s="97">
        <f>IFERROR(VLOOKUP(B56,калькулятор!E:OJ,MATCH($B39,калькулятор!$3:$3,0)-5,0),"")</f>
      </c>
      <c r="D56" s="98">
        <f>IFERROR(IF(VLOOKUP(B56,калькулятор!E:J,6,0)=0,"",VLOOKUP(B56,калькулятор!E:J,6,0)),"")</f>
      </c>
      <c r="E56" s="99">
        <f t="shared" si="5"/>
      </c>
      <c r="F56" s="100"/>
      <c r="G56" s="50"/>
      <c r="H56" s="76"/>
      <c r="I56" s="101"/>
      <c r="J56" s="102">
        <f>IFERROR(K44-D56,"")</f>
      </c>
      <c r="K56" s="103">
        <f>IFERROR(IF(OR(C39="КУПК",C39="КУПК (РП/ЗРП)"),E56*I56/365*J56*0.5,E56*I56/365*J56),"")</f>
      </c>
      <c r="L56" s="101">
        <f t="shared" si="6"/>
      </c>
      <c r="M56" s="102">
        <f>IFERROR(N44-$D56,"")</f>
      </c>
      <c r="N56" s="103">
        <f>IFERROR(IF(OR(C39="КУПК",C39="КУПК (РП/ЗРП)"),E56*L56/365*M56*0.25,0),"")</f>
      </c>
      <c r="O56" s="104">
        <f t="shared" si="7"/>
      </c>
      <c r="P56" s="102">
        <f>IFERROR(Q44-$D56,"")</f>
      </c>
      <c r="Q56" s="103">
        <f>IFERROR(IF(OR(C39="КУПК",C39="КУПК (РП/ЗРП)"),E56*O56/365*P56*0.25,0),"")</f>
      </c>
      <c r="R56" s="76"/>
      <c r="S56" s="77"/>
      <c r="T56" s="49"/>
      <c r="V56" s="48"/>
      <c r="W56" s="49"/>
      <c r="Y56" s="48"/>
    </row>
    <row r="57" spans="2:25" x14ac:dyDescent="0.25">
      <c r="B57" s="236">
        <f>IF(AND(калькулятор!D$27&gt;0,калькулятор!D$27&lt;&gt;"Ключевая"),калькулятор!E$27,"")</f>
      </c>
      <c r="C57" s="97">
        <f>IFERROR(VLOOKUP(B57,калькулятор!E:OJ,MATCH($B39,калькулятор!$3:$3,0)-5,0),"")</f>
      </c>
      <c r="D57" s="98">
        <f>IFERROR(IF(VLOOKUP(B57,калькулятор!E:J,6,0)=0,"",VLOOKUP(B57,калькулятор!E:J,6,0)),"")</f>
      </c>
      <c r="E57" s="99">
        <f t="shared" si="5"/>
      </c>
      <c r="F57" s="100"/>
      <c r="G57" s="50"/>
      <c r="H57" s="76"/>
      <c r="I57" s="101"/>
      <c r="J57" s="102">
        <f>IFERROR(K44-D57,"")</f>
      </c>
      <c r="K57" s="103">
        <f>IFERROR(IF(OR(C39="КУПК",C39="КУПК (РП/ЗРП)"),E57*I57/365*J57*0.5,E57*I57/365*J57),"")</f>
      </c>
      <c r="L57" s="101">
        <f t="shared" si="6"/>
      </c>
      <c r="M57" s="102">
        <f>IFERROR(N44-$D57,"")</f>
      </c>
      <c r="N57" s="103">
        <f>IFERROR(IF(OR(C39="КУПК",C39="КУПК (РП/ЗРП)"),E57*L57/365*M57*0.25,0),"")</f>
      </c>
      <c r="O57" s="104">
        <f t="shared" si="7"/>
      </c>
      <c r="P57" s="102">
        <f>IFERROR(Q44-$D57,"")</f>
      </c>
      <c r="Q57" s="103">
        <f>IFERROR(IF(OR(C39="КУПК",C39="КУПК (РП/ЗРП)"),E57*O57/365*P57*0.25,0),"")</f>
      </c>
      <c r="R57" s="76"/>
      <c r="S57" s="77"/>
      <c r="T57" s="49"/>
      <c r="V57" s="48"/>
      <c r="W57" s="49"/>
      <c r="Y57" s="48"/>
    </row>
    <row r="58" spans="2:25" x14ac:dyDescent="0.25">
      <c r="B58" s="236">
        <f>IF(AND(калькулятор!D$28&gt;0,калькулятор!D$28&lt;&gt;"Ключевая"),калькулятор!E$28,"")</f>
      </c>
      <c r="C58" s="97">
        <f>IFERROR(VLOOKUP(B58,калькулятор!E:OJ,MATCH($B39,калькулятор!$3:$3,0)-5,0),"")</f>
      </c>
      <c r="D58" s="98">
        <f>IFERROR(IF(VLOOKUP(B58,калькулятор!E:J,6,0)=0,"",VLOOKUP(B58,калькулятор!E:J,6,0)),"")</f>
      </c>
      <c r="E58" s="99">
        <f t="shared" si="5"/>
      </c>
      <c r="F58" s="100"/>
      <c r="G58" s="50"/>
      <c r="H58" s="76"/>
      <c r="I58" s="101"/>
      <c r="J58" s="102">
        <f>IFERROR(K44-D58,"")</f>
      </c>
      <c r="K58" s="103">
        <f>IFERROR(IF(OR(C39="КУПК",C39="КУПК (РП/ЗРП)"),E58*I58/365*J58*0.5,E58*I58/365*J58),"")</f>
      </c>
      <c r="L58" s="101">
        <f t="shared" si="6"/>
      </c>
      <c r="M58" s="102">
        <f>IFERROR(N44-$D58,"")</f>
      </c>
      <c r="N58" s="103">
        <f>IFERROR(IF(OR(C39="КУПК",C39="КУПК (РП/ЗРП)"),E58*L58/365*M58*0.25,0),"")</f>
      </c>
      <c r="O58" s="104">
        <f t="shared" si="7"/>
      </c>
      <c r="P58" s="102">
        <f>IFERROR(Q44-$D58,"")</f>
      </c>
      <c r="Q58" s="103">
        <f>IFERROR(IF(OR(C39="КУПК",C39="КУПК (РП/ЗРП)"),E58*O58/365*P58*0.25,0),"")</f>
      </c>
      <c r="R58" s="76"/>
      <c r="S58" s="77"/>
      <c r="T58" s="49"/>
      <c r="V58" s="48"/>
      <c r="W58" s="49"/>
      <c r="Y58" s="48"/>
    </row>
    <row r="59" spans="2:25" x14ac:dyDescent="0.25">
      <c r="B59" s="236">
        <f>IF(AND(калькулятор!D$29&gt;0,калькулятор!D$29&lt;&gt;"Ключевая"),калькулятор!E$29,"")</f>
      </c>
      <c r="C59" s="97">
        <f>IFERROR(VLOOKUP(B59,калькулятор!E:OJ,MATCH($B39,калькулятор!$3:$3,0)-5,0),"")</f>
      </c>
      <c r="D59" s="98">
        <f>IFERROR(IF(VLOOKUP(B59,калькулятор!E:J,6,0)=0,"",VLOOKUP(B59,калькулятор!E:J,6,0)),"")</f>
      </c>
      <c r="E59" s="99">
        <f t="shared" si="5"/>
      </c>
      <c r="F59" s="100"/>
      <c r="G59" s="50"/>
      <c r="H59" s="76"/>
      <c r="I59" s="101"/>
      <c r="J59" s="102">
        <f>IFERROR(K44-D59,"")</f>
      </c>
      <c r="K59" s="103">
        <f>IFERROR(IF(OR(C39="КУПК",C39="КУПК (РП/ЗРП)"),E59*I59/365*J59*0.5,E59*I59/365*J59),"")</f>
      </c>
      <c r="L59" s="101">
        <f t="shared" si="6"/>
      </c>
      <c r="M59" s="102">
        <f>IFERROR(N44-$D59,"")</f>
      </c>
      <c r="N59" s="103">
        <f>IFERROR(IF(OR(C39="КУПК",C39="КУПК (РП/ЗРП)"),E59*L59/365*M59*0.25,0),"")</f>
      </c>
      <c r="O59" s="104">
        <f t="shared" si="7"/>
      </c>
      <c r="P59" s="102">
        <f>IFERROR(Q44-$D59,"")</f>
      </c>
      <c r="Q59" s="103">
        <f>IFERROR(IF(OR(C39="КУПК",C39="КУПК (РП/ЗРП)"),E59*O59/365*P59*0.25,0),"")</f>
      </c>
      <c r="R59" s="76"/>
      <c r="S59" s="77"/>
      <c r="T59" s="49"/>
      <c r="V59" s="48"/>
      <c r="W59" s="49"/>
      <c r="Y59" s="48"/>
    </row>
    <row r="60" spans="2:25" x14ac:dyDescent="0.25">
      <c r="B60" s="236">
        <f>IF(AND(калькулятор!D$30&gt;0,калькулятор!D$30&lt;&gt;"Ключевая"),калькулятор!E$30,"")</f>
      </c>
      <c r="C60" s="97">
        <f>IFERROR(VLOOKUP(B60,калькулятор!E:OJ,MATCH($B39,калькулятор!$3:$3,0)-5,0),"")</f>
      </c>
      <c r="D60" s="98">
        <f>IFERROR(IF(VLOOKUP(B60,калькулятор!E:J,6,0)=0,"",VLOOKUP(B60,калькулятор!E:J,6,0)),"")</f>
      </c>
      <c r="E60" s="99">
        <f t="shared" si="5"/>
      </c>
      <c r="F60" s="100"/>
      <c r="G60" s="50"/>
      <c r="H60" s="76"/>
      <c r="I60" s="101"/>
      <c r="J60" s="102">
        <f>IFERROR(K44-D60,"")</f>
      </c>
      <c r="K60" s="103">
        <f>IFERROR(IF(OR(C39="КУПК",C39="КУПК (РП/ЗРП)"),E60*I60/365*J60*0.5,E60*I60/365*J60),"")</f>
      </c>
      <c r="L60" s="101">
        <f t="shared" si="6"/>
      </c>
      <c r="M60" s="102">
        <f>IFERROR(N44-$D60,"")</f>
      </c>
      <c r="N60" s="103">
        <f>IFERROR(IF(OR(C39="КУПК",C39="КУПК (РП/ЗРП)"),E60*L60/365*M60*0.25,0),"")</f>
      </c>
      <c r="O60" s="104">
        <f t="shared" si="7"/>
      </c>
      <c r="P60" s="102">
        <f>IFERROR(Q44-$D60,"")</f>
      </c>
      <c r="Q60" s="103">
        <f>IFERROR(IF(OR(C39="КУПК",C39="КУПК (РП/ЗРП)"),E60*O60/365*P60*0.25,0),"")</f>
      </c>
      <c r="R60" s="76"/>
      <c r="S60" s="77"/>
      <c r="T60" s="49"/>
      <c r="V60" s="48"/>
      <c r="W60" s="49"/>
      <c r="Y60" s="48"/>
    </row>
    <row r="61" spans="2:25" x14ac:dyDescent="0.25">
      <c r="B61" s="236">
        <f>IF(AND(калькулятор!D$31&gt;0,калькулятор!D$31&lt;&gt;"Ключевая"),калькулятор!E$31,"")</f>
      </c>
      <c r="C61" s="97">
        <f>IFERROR(VLOOKUP(B61,калькулятор!E:OJ,MATCH($B39,калькулятор!$3:$3,0)-5,0),"")</f>
      </c>
      <c r="D61" s="98">
        <f>IFERROR(IF(VLOOKUP(B61,калькулятор!E:J,6,0)=0,"",VLOOKUP(B61,калькулятор!E:J,6,0)),"")</f>
      </c>
      <c r="E61" s="99">
        <f t="shared" si="5"/>
      </c>
      <c r="F61" s="100"/>
      <c r="G61" s="50"/>
      <c r="H61" s="76"/>
      <c r="I61" s="101"/>
      <c r="J61" s="102">
        <f>IFERROR(K44-D61,"")</f>
      </c>
      <c r="K61" s="103">
        <f>IFERROR(IF(OR(C39="КУПК",C39="КУПК (РП/ЗРП)"),E61*I61/365*J61*0.5,E61*I61/365*J61),"")</f>
      </c>
      <c r="L61" s="101">
        <f t="shared" si="6"/>
      </c>
      <c r="M61" s="102">
        <f>IFERROR(N44-$D61,"")</f>
      </c>
      <c r="N61" s="103">
        <f>IFERROR(IF(OR(C39="КУПК",C39="КУПК (РП/ЗРП)"),E61*L61/365*M61*0.25,0),"")</f>
      </c>
      <c r="O61" s="104">
        <f t="shared" si="7"/>
      </c>
      <c r="P61" s="102">
        <f>IFERROR(Q44-$D61,"")</f>
      </c>
      <c r="Q61" s="103">
        <f>IFERROR(IF(OR(C39="КУПК",C39="КУПК (РП/ЗРП)"),E61*O61/365*P61*0.25,0),"")</f>
      </c>
      <c r="R61" s="76"/>
      <c r="S61" s="77"/>
      <c r="T61" s="49"/>
      <c r="V61" s="48"/>
      <c r="W61" s="49"/>
      <c r="Y61" s="48"/>
    </row>
    <row r="62" spans="2:25" x14ac:dyDescent="0.25">
      <c r="B62" s="236">
        <f>IF(AND(калькулятор!D$32&gt;0,калькулятор!D$32&lt;&gt;"Ключевая"),калькулятор!E$32,"")</f>
      </c>
      <c r="C62" s="97">
        <f>IFERROR(VLOOKUP(B62,калькулятор!E:OJ,MATCH($B39,калькулятор!$3:$3,0)-5,0),"")</f>
      </c>
      <c r="D62" s="98">
        <f>IFERROR(IF(VLOOKUP(B62,калькулятор!E:J,6,0)=0,"",VLOOKUP(B62,калькулятор!E:J,6,0)),"")</f>
      </c>
      <c r="E62" s="99">
        <f t="shared" si="5"/>
      </c>
      <c r="F62" s="100"/>
      <c r="G62" s="50"/>
      <c r="H62" s="76"/>
      <c r="I62" s="101"/>
      <c r="J62" s="102">
        <f>IFERROR(K44-D62,"")</f>
      </c>
      <c r="K62" s="103">
        <f>IFERROR(IF(OR(C39="КУПК",C39="КУПК (РП/ЗРП)"),E62*I62/365*J62*0.5,E62*I62/365*J62),"")</f>
      </c>
      <c r="L62" s="101">
        <f t="shared" si="6"/>
      </c>
      <c r="M62" s="102">
        <f>IFERROR(N44-$D62,"")</f>
      </c>
      <c r="N62" s="103">
        <f>IFERROR(IF(OR(C39="КУПК",C39="КУПК (РП/ЗРП)"),E62*L62/365*M62*0.25,0),"")</f>
      </c>
      <c r="O62" s="104">
        <f t="shared" si="7"/>
      </c>
      <c r="P62" s="102">
        <f>IFERROR(Q44-$D62,"")</f>
      </c>
      <c r="Q62" s="103">
        <f>IFERROR(IF(OR(C39="КУПК",C39="КУПК (РП/ЗРП)"),E62*O62/365*P62*0.25,0),"")</f>
      </c>
      <c r="R62" s="76"/>
      <c r="S62" s="77"/>
      <c r="T62" s="49"/>
      <c r="V62" s="48"/>
      <c r="W62" s="49"/>
      <c r="Y62" s="48"/>
    </row>
    <row r="63" spans="2:25" x14ac:dyDescent="0.25">
      <c r="B63" s="236">
        <f>IF(AND(калькулятор!D$33&gt;0,калькулятор!D$33&lt;&gt;"Ключевая"),калькулятор!E$33,"")</f>
      </c>
      <c r="C63" s="97">
        <f>IFERROR(VLOOKUP(B63,калькулятор!E:OJ,MATCH($B39,калькулятор!$3:$3,0)-5,0),"")</f>
      </c>
      <c r="D63" s="98">
        <f>IFERROR(IF(VLOOKUP(B63,калькулятор!E:J,6,0)=0,"",VLOOKUP(B63,калькулятор!E:J,6,0)),"")</f>
      </c>
      <c r="E63" s="99">
        <f t="shared" si="5"/>
      </c>
      <c r="F63" s="100"/>
      <c r="G63" s="50"/>
      <c r="H63" s="74"/>
      <c r="I63" s="101"/>
      <c r="J63" s="102">
        <f>IFERROR(K44-D63,"")</f>
      </c>
      <c r="K63" s="103">
        <f>IFERROR(IF(OR(C39="КУПК",C39="КУПК (РП/ЗРП)"),E63*I63/365*J63*0.5,E63*I63/365*J63),"")</f>
      </c>
      <c r="L63" s="101">
        <f t="shared" si="6"/>
      </c>
      <c r="M63" s="102">
        <f>IFERROR(N44-$D63,"")</f>
      </c>
      <c r="N63" s="103">
        <f>IFERROR(IF(OR(C39="КУПК",C39="КУПК (РП/ЗРП)"),E63*L63/365*M63*0.25,0),"")</f>
      </c>
      <c r="O63" s="104">
        <f t="shared" si="7"/>
      </c>
      <c r="P63" s="102">
        <f>IFERROR(Q44-$D63,"")</f>
      </c>
      <c r="Q63" s="103">
        <f>IFERROR(IF(OR(C39="КУПК",C39="КУПК (РП/ЗРП)"),E63*O63/365*P63*0.25,0),"")</f>
      </c>
      <c r="R63" s="76"/>
      <c r="S63" s="77"/>
      <c r="T63" s="49"/>
      <c r="V63" s="48"/>
      <c r="W63" s="49"/>
      <c r="Y63" s="48"/>
    </row>
    <row r="64" spans="2:25" x14ac:dyDescent="0.25">
      <c r="B64" s="236">
        <f>IF(AND(калькулятор!D$34&gt;0,калькулятор!D$34&lt;&gt;"Ключевая"),калькулятор!E$34,"")</f>
      </c>
      <c r="C64" s="97">
        <f>IFERROR(VLOOKUP(B64,калькулятор!E:OJ,MATCH($B39,калькулятор!$3:$3,0)-5,0),"")</f>
      </c>
      <c r="D64" s="98">
        <f>IFERROR(IF(VLOOKUP(B64,калькулятор!E:J,6,0)=0,"",VLOOKUP(B64,калькулятор!E:J,6,0)),"")</f>
      </c>
      <c r="E64" s="99">
        <f t="shared" si="5"/>
      </c>
      <c r="F64" s="100"/>
      <c r="G64" s="50"/>
      <c r="H64" s="74"/>
      <c r="I64" s="101"/>
      <c r="J64" s="102">
        <f>IFERROR(K44-D64,"")</f>
      </c>
      <c r="K64" s="103">
        <f>IFERROR(IF(OR(C39="КУПК",C39="КУПК (РП/ЗРП)"),E64*I64/365*J64*0.5,E64*I64/365*J64),"")</f>
      </c>
      <c r="L64" s="101">
        <f t="shared" si="6"/>
      </c>
      <c r="M64" s="102">
        <f>IFERROR(N44-$D64,"")</f>
      </c>
      <c r="N64" s="103">
        <f>IFERROR(IF(OR(C39="КУПК",C39="КУПК (РП/ЗРП)"),E64*L64/365*M64*0.25,0),"")</f>
      </c>
      <c r="O64" s="104">
        <f t="shared" si="7"/>
      </c>
      <c r="P64" s="102">
        <f>IFERROR(Q44-$D64,"")</f>
      </c>
      <c r="Q64" s="103">
        <f>IFERROR(IF(OR(C39="КУПК",C39="КУПК (РП/ЗРП)"),E64*O64/365*P64*0.25,0),"")</f>
      </c>
      <c r="R64" s="76"/>
      <c r="S64" s="77"/>
      <c r="T64" s="49"/>
      <c r="V64" s="48"/>
      <c r="W64" s="49"/>
      <c r="Y64" s="48"/>
    </row>
    <row r="65" spans="2:25" x14ac:dyDescent="0.25">
      <c r="B65" s="236">
        <f>IF(AND(калькулятор!D$35&gt;0,калькулятор!D$35&lt;&gt;"Ключевая"),калькулятор!E$35,"")</f>
      </c>
      <c r="C65" s="97">
        <f>IFERROR(VLOOKUP(B65,калькулятор!E:OJ,MATCH($B39,калькулятор!$3:$3,0)-5,0),"")</f>
      </c>
      <c r="D65" s="98">
        <f>IFERROR(IF(VLOOKUP(B65,калькулятор!E:J,6,0)=0,"",VLOOKUP(B65,калькулятор!E:J,6,0)),"")</f>
      </c>
      <c r="E65" s="99">
        <f t="shared" si="5"/>
      </c>
      <c r="F65" s="100"/>
      <c r="G65" s="50"/>
      <c r="H65" s="74"/>
      <c r="I65" s="101"/>
      <c r="J65" s="102">
        <f>IFERROR(K44-D65,"")</f>
      </c>
      <c r="K65" s="103">
        <f>IFERROR(IF(OR(C39="КУПК",C39="КУПК (РП/ЗРП)"),E65*I65/365*J65*0.5,E65*I65/365*J65),"")</f>
      </c>
      <c r="L65" s="101">
        <f t="shared" si="6"/>
      </c>
      <c r="M65" s="102">
        <f>IFERROR(N44-$D65,"")</f>
      </c>
      <c r="N65" s="103">
        <f>IFERROR(IF(OR(C39="КУПК",C39="КУПК (РП/ЗРП)"),E65*L65/365*M65*0.25,0),"")</f>
      </c>
      <c r="O65" s="104">
        <f t="shared" si="7"/>
      </c>
      <c r="P65" s="102">
        <f>IFERROR(Q44-$D65,"")</f>
      </c>
      <c r="Q65" s="103">
        <f>IFERROR(IF(OR(C39="КУПК",C39="КУПК (РП/ЗРП)"),E65*O65/365*P65*0.25,0),"")</f>
      </c>
      <c r="R65" s="76"/>
      <c r="S65" s="77"/>
      <c r="T65" s="49"/>
      <c r="V65" s="48"/>
      <c r="W65" s="49"/>
      <c r="Y65" s="48"/>
    </row>
    <row r="66" spans="2:25" ht="15.75" thickBot="1" x14ac:dyDescent="0.3">
      <c r="B66" s="106">
        <f t="array" ref="B66">INDEX(калькулятор!$E$16:$E$305,MATCH(TRUE,COUNTIF('проценты на отложенную часть'!B46:B65,калькулятор!$E$16:$E$305)=0,0))</f>
      </c>
      <c r="C66" s="107">
        <f>IFERROR(VLOOKUP(B66,калькулятор!E:OJ,MATCH(B39,калькулятор!$3:$3,0)-5,0),"")</f>
      </c>
      <c r="D66" s="108"/>
      <c r="E66" s="109"/>
      <c r="F66" s="110"/>
      <c r="G66" s="50"/>
      <c r="H66" s="74"/>
      <c r="I66" s="111"/>
      <c r="J66" s="112"/>
      <c r="K66" s="113"/>
      <c r="L66" s="111"/>
      <c r="M66" s="112"/>
      <c r="N66" s="113"/>
      <c r="O66" s="114"/>
      <c r="P66" s="115"/>
      <c r="Q66" s="116"/>
      <c r="R66" s="76"/>
      <c r="S66" s="77"/>
    </row>
    <row r="67" spans="2:25" x14ac:dyDescent="0.25">
      <c r="B67" s="117">
        <f>"Финальная веха*"</f>
      </c>
      <c r="C67" s="118">
        <f>IF(OR(C39="КУПК",C39="КУПК (РП/ЗРП)"),C66*50%,C66)</f>
      </c>
      <c r="D67" s="119">
        <f>IFERROR(IF(VLOOKUP(B67,калькулятор!E:J,6,0)=0,"",VLOOKUP(B67,калькулятор!E:J,6,0)),"")</f>
      </c>
      <c r="E67" s="120">
        <f>IF(B67="Финальная веха*",0,IF(D67="","",IF(B67="","",IFERROR(C67/67*33,""))))</f>
      </c>
      <c r="F67" s="121"/>
      <c r="G67" s="74"/>
      <c r="H67" s="74"/>
      <c r="I67" s="101"/>
      <c r="J67" s="102">
        <f>IFERROR(K44-D67,"")</f>
      </c>
      <c r="K67" s="103">
        <f>IFERROR(IF(OR(C39="КУПК",C39="КУПК (РП/ЗРП)"),E67*I67/365*J67*0.5,E67*I67/365*J67),"")</f>
      </c>
      <c r="L67" s="112"/>
      <c r="M67" s="112"/>
      <c r="N67" s="113"/>
      <c r="O67" s="114"/>
      <c r="P67" s="122"/>
      <c r="Q67" s="123"/>
      <c r="R67" s="76"/>
      <c r="S67" s="77"/>
    </row>
    <row r="68" spans="2:25" x14ac:dyDescent="0.25">
      <c r="B68" s="124">
        <f>IF(OR(C39="КУПК",C39="КУПК (РП/ЗРП)"),"Финальная веха (25% ПБ)*","")</f>
      </c>
      <c r="C68" s="125">
        <f>IF(OR(C39="КУПК",C39="КУПК (РП/ЗРП)"),C66*25%,"")</f>
      </c>
      <c r="D68" s="126">
        <f>IFERROR(IF(VLOOKUP(B68,калькулятор!E:J,6,0)=0,"",VLOOKUP(B68,калькулятор!E:J,6,0)),"")</f>
      </c>
      <c r="E68" s="99">
        <f>C68</f>
      </c>
      <c r="F68" s="127"/>
      <c r="G68" s="74"/>
      <c r="H68" s="74"/>
      <c r="I68" s="111"/>
      <c r="J68" s="112"/>
      <c r="K68" s="113"/>
      <c r="L68" s="101"/>
      <c r="M68" s="102">
        <f>IF(OR(C39="КУПК",C39="КУПК (РП/ЗРП)"),IF(D67="","",D68-D67),"")</f>
      </c>
      <c r="N68" s="103">
        <f>IFERROR(IF(D68="","",IF(OR(C39="КУПК",C39="КУПК (РП/ЗРП)"),E68*L68/365*M68,0)),"")</f>
      </c>
      <c r="O68" s="114"/>
      <c r="P68" s="122"/>
      <c r="Q68" s="123"/>
      <c r="R68" s="76"/>
      <c r="S68" s="77"/>
    </row>
    <row r="69" spans="2:25" ht="15.75" thickBot="1" x14ac:dyDescent="0.3">
      <c r="B69" s="128">
        <f>IF(OR(C39="КУПК",C39="КУПК (РП/ЗРП)"),"Финальная веха (25% ПБ) 2 часть*","")</f>
      </c>
      <c r="C69" s="129">
        <f>IF(OR(C39="КУПК",C39="КУПК (РП/ЗРП)"),C66*25%,"")</f>
      </c>
      <c r="D69" s="130">
        <f>IFERROR(IF(VLOOKUP(B69,калькулятор!E:J,6,0)=0,"",VLOOKUP(B69,калькулятор!E:J,6,0)),"")</f>
      </c>
      <c r="E69" s="131">
        <f>C69</f>
      </c>
      <c r="F69" s="132"/>
      <c r="G69" s="74"/>
      <c r="H69" s="74"/>
      <c r="I69" s="111"/>
      <c r="J69" s="112"/>
      <c r="K69" s="113"/>
      <c r="L69" s="111"/>
      <c r="M69" s="112"/>
      <c r="N69" s="113"/>
      <c r="O69" s="104"/>
      <c r="P69" s="102">
        <f>IF(OR(C39="КУПК",C39="КУПК (РП/ЗРП)"),IF(D67="","",D69-D67),"")</f>
      </c>
      <c r="Q69" s="103">
        <f>IFERROR(IF(D69="","",IF(OR(C39="КУПК",C39="КУПК (РП/ЗРП)"),E69*O69/365*P69,0)),"")</f>
      </c>
      <c r="R69" s="76"/>
      <c r="S69" s="133"/>
    </row>
    <row r="70" spans="2:25" x14ac:dyDescent="0.25">
      <c r="B70" s="73"/>
      <c r="C70" s="134"/>
      <c r="D70" s="76"/>
      <c r="E70" s="76"/>
      <c r="F70" s="76"/>
      <c r="G70" s="74"/>
      <c r="H70" s="74"/>
      <c r="I70" s="74"/>
      <c r="J70" s="74"/>
      <c r="K70" s="76"/>
      <c r="L70" s="76"/>
      <c r="M70" s="74"/>
      <c r="N70" s="74"/>
      <c r="O70" s="74"/>
      <c r="P70" s="74"/>
      <c r="Q70" s="74"/>
      <c r="R70" s="76"/>
      <c r="S70" s="133"/>
    </row>
    <row r="71" spans="2:25" ht="15.75" thickBot="1" x14ac:dyDescent="0.3">
      <c r="B71" s="135"/>
      <c r="C71" s="136"/>
      <c r="D71" s="137"/>
      <c r="E71" s="137"/>
      <c r="F71" s="137"/>
      <c r="G71" s="136"/>
      <c r="H71" s="136"/>
      <c r="I71" s="136"/>
      <c r="J71" s="136"/>
      <c r="K71" s="137"/>
      <c r="L71" s="137"/>
      <c r="M71" s="136"/>
      <c r="N71" s="136"/>
      <c r="O71" s="136"/>
      <c r="P71" s="136"/>
      <c r="Q71" s="136"/>
      <c r="R71" s="137"/>
      <c r="S71" s="138"/>
    </row>
    <row r="72" spans="2:25" ht="15.75" thickBot="1" x14ac:dyDescent="0.3"/>
    <row r="73" spans="2:25" s="71" customFormat="1" ht="30" customHeight="1" thickBot="1" x14ac:dyDescent="0.3">
      <c r="B73" s="62">
        <f t="array" ref="B73">INDEX($B$6:$B$37,SMALL(IF(COUNTIF($B$38:$B72,$B$6:$B$37)=0,ROW($B$6:$B$37)-ROW($B$6)+1),1))</f>
      </c>
      <c r="C73" s="63">
        <f>INDEX(калькулятор!$1:$3,1,MATCH(B73,калькулятор!$3:$3,0))</f>
      </c>
      <c r="D73" s="64"/>
      <c r="E73" s="64"/>
      <c r="F73" s="65"/>
      <c r="G73" s="65"/>
      <c r="H73" s="65"/>
      <c r="I73" s="66" t="s">
        <v>72</v>
      </c>
      <c r="J73" s="64" t="s">
        <v>80</v>
      </c>
      <c r="K73" s="67">
        <f>SUM(K80:K103)</f>
      </c>
      <c r="L73" s="68"/>
      <c r="M73" s="68"/>
      <c r="N73" s="67">
        <f>SUM(N80:N103)</f>
      </c>
      <c r="O73" s="68"/>
      <c r="P73" s="68"/>
      <c r="Q73" s="67">
        <f>SUM(Q80:Q103)</f>
      </c>
      <c r="R73" s="69"/>
      <c r="S73" s="70"/>
      <c r="U73" s="72"/>
      <c r="V73" s="72"/>
      <c r="X73" s="72"/>
      <c r="Y73" s="72"/>
    </row>
    <row r="74" spans="2:25" x14ac:dyDescent="0.25">
      <c r="B74" s="73"/>
      <c r="C74" s="74" t="s">
        <v>6</v>
      </c>
      <c r="D74" s="75">
        <f>HLOOKUP(B73,калькулятор!$3:$14,5,0)</f>
      </c>
      <c r="E74" s="76"/>
      <c r="F74" s="74"/>
      <c r="G74" s="74"/>
      <c r="H74" s="74"/>
      <c r="I74" s="74"/>
      <c r="J74" s="76"/>
      <c r="K74" s="76"/>
      <c r="L74" s="74"/>
      <c r="M74" s="74"/>
      <c r="N74" s="74"/>
      <c r="O74" s="74"/>
      <c r="P74" s="74"/>
      <c r="Q74" s="76"/>
      <c r="R74" s="76"/>
      <c r="S74" s="77"/>
    </row>
    <row r="75" spans="2:25" x14ac:dyDescent="0.25">
      <c r="B75" s="78"/>
      <c r="C75" s="74"/>
      <c r="D75" s="76"/>
      <c r="E75" s="76"/>
      <c r="F75" s="74"/>
      <c r="G75" s="74"/>
      <c r="H75" s="74"/>
      <c r="I75" s="74"/>
      <c r="J75" s="76"/>
      <c r="K75" s="76"/>
      <c r="L75" s="74"/>
      <c r="M75" s="74"/>
      <c r="N75" s="74"/>
      <c r="O75" s="74"/>
      <c r="P75" s="74"/>
      <c r="Q75" s="76"/>
      <c r="R75" s="76"/>
      <c r="S75" s="77"/>
    </row>
    <row r="76" spans="2:25" x14ac:dyDescent="0.25">
      <c r="B76" s="79"/>
      <c r="C76" s="74"/>
      <c r="D76" s="76"/>
      <c r="E76" s="76"/>
      <c r="F76" s="74"/>
      <c r="G76" s="74"/>
      <c r="H76" s="74"/>
      <c r="I76" s="74"/>
      <c r="J76" s="76"/>
      <c r="K76" s="76"/>
      <c r="L76" s="74"/>
      <c r="M76" s="74"/>
      <c r="N76" s="74"/>
      <c r="O76" s="74"/>
      <c r="P76" s="74"/>
      <c r="Q76" s="76"/>
      <c r="R76" s="76"/>
      <c r="S76" s="77"/>
    </row>
    <row r="77" spans="2:25" ht="29.45" customHeight="1" x14ac:dyDescent="0.25">
      <c r="B77" s="80"/>
      <c r="C77" s="74"/>
      <c r="D77" s="76"/>
      <c r="E77" s="81"/>
      <c r="F77" s="50"/>
      <c r="G77" s="50"/>
      <c r="H77" s="74"/>
      <c r="I77" s="290">
        <f>IF(OR(C73="КУПК",C73="КУПК (РП/ЗРП)"),"1 выплата (50%)","Выплата")</f>
      </c>
      <c r="J77" s="291"/>
      <c r="K77" s="292"/>
      <c r="L77" s="290">
        <f>IF(OR(C73="КУПК",C73="КУПК (РП/ЗРП)"),"2 выплата (25%)","Выплата")</f>
      </c>
      <c r="M77" s="291"/>
      <c r="N77" s="293"/>
      <c r="O77" s="294">
        <f>IF(OR(C73="КУПК",C73="КУПК (РП/ЗРП)"),"3 выплата (25%)","Выплата")</f>
      </c>
      <c r="P77" s="291"/>
      <c r="Q77" s="293"/>
      <c r="R77" s="76"/>
      <c r="S77" s="77"/>
      <c r="T77" s="49"/>
      <c r="V77" s="48"/>
      <c r="W77" s="49"/>
      <c r="Y77" s="48"/>
    </row>
    <row r="78" spans="2:25" ht="30" x14ac:dyDescent="0.25">
      <c r="B78" s="82"/>
      <c r="C78" s="50" t="s">
        <v>81</v>
      </c>
      <c r="D78" s="83">
        <f>HLOOKUP(B73,калькулятор!$3:$5,3,0)</f>
      </c>
      <c r="E78" s="50"/>
      <c r="F78" s="50"/>
      <c r="G78" s="50"/>
      <c r="H78" s="74"/>
      <c r="I78" s="84" t="s">
        <v>82</v>
      </c>
      <c r="J78" s="85"/>
      <c r="K78" s="86">
        <f>D101</f>
      </c>
      <c r="L78" s="87" t="s">
        <v>82</v>
      </c>
      <c r="M78" s="87"/>
      <c r="N78" s="87">
        <f>D102</f>
      </c>
      <c r="O78" s="87" t="s">
        <v>82</v>
      </c>
      <c r="P78" s="87"/>
      <c r="Q78" s="87">
        <f>D103</f>
      </c>
      <c r="R78" s="76"/>
      <c r="S78" s="77"/>
      <c r="T78" s="49"/>
      <c r="V78" s="48"/>
      <c r="W78" s="49"/>
      <c r="Y78" s="48"/>
    </row>
    <row r="79" spans="2:25" ht="67.5" x14ac:dyDescent="0.25">
      <c r="B79" s="88" t="s">
        <v>83</v>
      </c>
      <c r="C79" s="89" t="s">
        <v>84</v>
      </c>
      <c r="D79" s="90" t="s">
        <v>85</v>
      </c>
      <c r="E79" s="90" t="s">
        <v>7</v>
      </c>
      <c r="F79" s="91" t="s">
        <v>86</v>
      </c>
      <c r="G79" s="50"/>
      <c r="H79" s="92"/>
      <c r="I79" s="93" t="s">
        <v>8</v>
      </c>
      <c r="J79" s="87" t="s">
        <v>9</v>
      </c>
      <c r="K79" s="94" t="s">
        <v>10</v>
      </c>
      <c r="L79" s="93" t="s">
        <v>8</v>
      </c>
      <c r="M79" s="87" t="s">
        <v>9</v>
      </c>
      <c r="N79" s="95" t="s">
        <v>10</v>
      </c>
      <c r="O79" s="96" t="s">
        <v>8</v>
      </c>
      <c r="P79" s="87" t="s">
        <v>9</v>
      </c>
      <c r="Q79" s="95" t="s">
        <v>10</v>
      </c>
      <c r="R79" s="76"/>
      <c r="S79" s="77"/>
      <c r="T79" s="49"/>
      <c r="V79" s="48"/>
      <c r="W79" s="49"/>
      <c r="Y79" s="48"/>
    </row>
    <row r="80" spans="2:25" x14ac:dyDescent="0.25">
      <c r="B80" s="236">
        <f>IF(AND(калькулятор!D$16&gt;0,калькулятор!D$16&lt;&gt;"Ключевая"),калькулятор!E$16,"")</f>
      </c>
      <c r="C80" s="97">
        <f>IFERROR(VLOOKUP(B80,калькулятор!E:OJ,MATCH($B73,калькулятор!$3:$3,0)-5,0),"")</f>
      </c>
      <c r="D80" s="98">
        <f>IFERROR(IF(VLOOKUP(B80,калькулятор!E:J,6,0)=0,"",VLOOKUP(B80,калькулятор!E:J,6,0)),"")</f>
      </c>
      <c r="E80" s="99">
        <f>IF(B80="Финальная веха*",0,IF(D80="","",IF(B80="","",IFERROR(C80/67*33,""))))</f>
      </c>
      <c r="F80" s="100"/>
      <c r="G80" s="50"/>
      <c r="H80" s="76"/>
      <c r="I80" s="101"/>
      <c r="J80" s="102">
        <f>IFERROR(K78-D80,"")</f>
      </c>
      <c r="K80" s="103">
        <f>IFERROR(IF(OR(C73="КУПК",C73="КУПК (РП/ЗРП)"),E80*I80/365*J80*0.5,E80*I80/365*J80),"")</f>
      </c>
      <c r="L80" s="101">
        <f>I80</f>
      </c>
      <c r="M80" s="102">
        <f>IFERROR(N78-$D80,"")</f>
      </c>
      <c r="N80" s="103">
        <f>IFERROR(IF(OR(C73="КУПК",C73="КУПК (РП/ЗРП)"),E80*L80/365*M80*0.25,0),"")</f>
      </c>
      <c r="O80" s="104">
        <f>I80</f>
      </c>
      <c r="P80" s="102">
        <f>IFERROR(Q78-$D80,"")</f>
      </c>
      <c r="Q80" s="103">
        <f>IFERROR(IF(OR(C73="КУПК",C73="КУПК (РП/ЗРП)"),E80*O80/365*P80*0.25,0),"")</f>
      </c>
      <c r="R80" s="76"/>
      <c r="S80" s="77"/>
      <c r="T80" s="49"/>
      <c r="V80" s="48"/>
      <c r="W80" s="49"/>
      <c r="Y80" s="48"/>
    </row>
    <row r="81" spans="2:25" x14ac:dyDescent="0.25">
      <c r="B81" s="236">
        <f>IF(AND(калькулятор!D$17&gt;0,калькулятор!D$17&lt;&gt;"Ключевая"),калькулятор!E$17,"")</f>
      </c>
      <c r="C81" s="97">
        <f>IFERROR(VLOOKUP(B81,калькулятор!E:OJ,MATCH($B73,калькулятор!$3:$3,0)-5,0),"")</f>
      </c>
      <c r="D81" s="98">
        <f>IFERROR(IF(VLOOKUP(B81,калькулятор!E:J,6,0)=0,"",VLOOKUP(B81,калькулятор!E:J,6,0)),"")</f>
      </c>
      <c r="E81" s="99">
        <f t="shared" ref="E81:E99" si="8">IF(B81="Финальная веха*",0,IF(D81="","",IF(B81="","",IFERROR(C81/67*33,""))))</f>
      </c>
      <c r="F81" s="100"/>
      <c r="G81" s="50"/>
      <c r="H81" s="76"/>
      <c r="I81" s="101"/>
      <c r="J81" s="102">
        <f>IFERROR(K78-D81,"")</f>
      </c>
      <c r="K81" s="103">
        <f>IFERROR(IF(OR(C73="КУПК",C73="КУПК (РП/ЗРП)"),E81*I81/365*J81*0.5,E81*I81/365*J81),"")</f>
      </c>
      <c r="L81" s="101">
        <f t="shared" ref="L81:L99" si="9">I81</f>
      </c>
      <c r="M81" s="102">
        <f>IFERROR(N78-$D81,"")</f>
      </c>
      <c r="N81" s="103">
        <f>IFERROR(IF(OR(C73="КУПК",C73="КУПК (РП/ЗРП)"),E81*L81/365*M81*0.25,0),"")</f>
      </c>
      <c r="O81" s="104">
        <f t="shared" ref="O81:O99" si="10">I81</f>
      </c>
      <c r="P81" s="102">
        <f>IFERROR(Q78-$D81,"")</f>
      </c>
      <c r="Q81" s="103">
        <f>IFERROR(IF(OR(C73="КУПК",C73="КУПК (РП/ЗРП)"),E81*O81/365*P81*0.25,0),"")</f>
      </c>
      <c r="R81" s="76"/>
      <c r="S81" s="77"/>
      <c r="T81" s="49"/>
      <c r="V81" s="48"/>
      <c r="W81" s="49"/>
      <c r="Y81" s="48"/>
    </row>
    <row r="82" spans="2:25" x14ac:dyDescent="0.25">
      <c r="B82" s="236">
        <f>IF(AND(калькулятор!D$18&gt;0,калькулятор!D$18&lt;&gt;"Ключевая"),калькулятор!E$18,"")</f>
      </c>
      <c r="C82" s="97">
        <f>IFERROR(VLOOKUP(B82,калькулятор!E:OJ,MATCH($B73,калькулятор!$3:$3,0)-5,0),"")</f>
      </c>
      <c r="D82" s="98">
        <f>IFERROR(IF(VLOOKUP(B82,калькулятор!E:J,6,0)=0,"",VLOOKUP(B82,калькулятор!E:J,6,0)),"")</f>
      </c>
      <c r="E82" s="99">
        <f t="shared" si="8"/>
      </c>
      <c r="F82" s="100"/>
      <c r="G82" s="50"/>
      <c r="H82" s="76"/>
      <c r="I82" s="101"/>
      <c r="J82" s="102">
        <f>IFERROR(K78-D82,"")</f>
      </c>
      <c r="K82" s="103">
        <f>IFERROR(IF(OR(C73="КУПК",C73="КУПК (РП/ЗРП)"),E82*I82/365*J82*0.5,E82*I82/365*J82),"")</f>
      </c>
      <c r="L82" s="101">
        <f t="shared" si="9"/>
      </c>
      <c r="M82" s="102">
        <f>IFERROR(N78-$D82,"")</f>
      </c>
      <c r="N82" s="103">
        <f>IFERROR(IF(OR(C73="КУПК",C73="КУПК (РП/ЗРП)"),E82*L82/365*M82*0.25,0),"")</f>
      </c>
      <c r="O82" s="104">
        <f t="shared" si="10"/>
      </c>
      <c r="P82" s="102">
        <f>IFERROR(Q78-$D82,"")</f>
      </c>
      <c r="Q82" s="103">
        <f>IFERROR(IF(OR(C73="КУПК",C73="КУПК (РП/ЗРП)"),E82*O82/365*P82*0.25,0),"")</f>
      </c>
      <c r="R82" s="76"/>
      <c r="S82" s="77"/>
      <c r="T82" s="49"/>
      <c r="V82" s="48"/>
      <c r="W82" s="49"/>
      <c r="Y82" s="48"/>
    </row>
    <row r="83" spans="2:25" x14ac:dyDescent="0.25">
      <c r="B83" s="236">
        <f>IF(AND(калькулятор!D$19&gt;0,калькулятор!D$19&lt;&gt;"Ключевая"),калькулятор!E$19,"")</f>
      </c>
      <c r="C83" s="97">
        <f>IFERROR(VLOOKUP(B83,калькулятор!E:OJ,MATCH($B73,калькулятор!$3:$3,0)-5,0),"")</f>
      </c>
      <c r="D83" s="98">
        <f>IFERROR(IF(VLOOKUP(B83,калькулятор!E:J,6,0)=0,"",VLOOKUP(B83,калькулятор!E:J,6,0)),"")</f>
      </c>
      <c r="E83" s="99">
        <f t="shared" si="8"/>
      </c>
      <c r="F83" s="100"/>
      <c r="G83" s="50"/>
      <c r="H83" s="76"/>
      <c r="I83" s="101"/>
      <c r="J83" s="102">
        <f>IFERROR(K78-D83,"")</f>
      </c>
      <c r="K83" s="103">
        <f>IFERROR(IF(OR(C73="КУПК",C73="КУПК (РП/ЗРП)"),E83*I83/365*J83*0.5,E83*I83/365*J83),"")</f>
      </c>
      <c r="L83" s="101">
        <f t="shared" si="9"/>
      </c>
      <c r="M83" s="102">
        <f>IFERROR(N78-$D83,"")</f>
      </c>
      <c r="N83" s="103">
        <f>IFERROR(IF(OR(C73="КУПК",C73="КУПК (РП/ЗРП)"),E83*L83/365*M83*0.25,0),"")</f>
      </c>
      <c r="O83" s="104">
        <f t="shared" si="10"/>
      </c>
      <c r="P83" s="102">
        <f>IFERROR(Q78-$D83,"")</f>
      </c>
      <c r="Q83" s="103">
        <f>IFERROR(IF(OR(C73="КУПК",C73="КУПК (РП/ЗРП)"),E83*O83/365*P83*0.25,0),"")</f>
      </c>
      <c r="R83" s="76"/>
      <c r="S83" s="77"/>
      <c r="T83" s="49"/>
      <c r="V83" s="48"/>
      <c r="W83" s="49"/>
      <c r="Y83" s="48"/>
    </row>
    <row r="84" spans="2:25" x14ac:dyDescent="0.25">
      <c r="B84" s="236">
        <f>IF(AND(калькулятор!D$20&gt;0,калькулятор!D$20&lt;&gt;"Ключевая"),калькулятор!E$20,"")</f>
      </c>
      <c r="C84" s="97">
        <f>IFERROR(VLOOKUP(B84,калькулятор!E:OJ,MATCH($B73,калькулятор!$3:$3,0)-5,0),"")</f>
      </c>
      <c r="D84" s="98">
        <f>IFERROR(IF(VLOOKUP(B84,калькулятор!E:J,6,0)=0,"",VLOOKUP(B84,калькулятор!E:J,6,0)),"")</f>
      </c>
      <c r="E84" s="99">
        <f t="shared" si="8"/>
      </c>
      <c r="F84" s="105"/>
      <c r="G84" s="50"/>
      <c r="H84" s="76"/>
      <c r="I84" s="101"/>
      <c r="J84" s="102">
        <f>IFERROR(K78-D84,"")</f>
      </c>
      <c r="K84" s="103">
        <f>IFERROR(IF(OR(C73="КУПК",C73="КУПК (РП/ЗРП)"),E84*I84/365*J84*0.5,E84*I84/365*J84),"")</f>
      </c>
      <c r="L84" s="101">
        <f t="shared" si="9"/>
      </c>
      <c r="M84" s="102">
        <f>IFERROR(N78-$D84,"")</f>
      </c>
      <c r="N84" s="103">
        <f>IFERROR(IF(OR(C73="КУПК",C73="КУПК (РП/ЗРП)"),E84*L84/365*M84*0.25,0),"")</f>
      </c>
      <c r="O84" s="104">
        <f t="shared" si="10"/>
      </c>
      <c r="P84" s="102">
        <f>IFERROR(Q78-$D84,"")</f>
      </c>
      <c r="Q84" s="103">
        <f>IFERROR(IF(OR(C73="КУПК",C73="КУПК (РП/ЗРП)"),E84*O84/365*P84*0.25,0),"")</f>
      </c>
      <c r="R84" s="76"/>
      <c r="S84" s="77"/>
      <c r="T84" s="49"/>
      <c r="V84" s="48"/>
      <c r="W84" s="49"/>
      <c r="Y84" s="48"/>
    </row>
    <row r="85" spans="2:25" x14ac:dyDescent="0.25">
      <c r="B85" s="236">
        <f>IF(AND(калькулятор!D$21&gt;0,калькулятор!D$21&lt;&gt;"Ключевая"),калькулятор!E$21,"")</f>
      </c>
      <c r="C85" s="97">
        <f>IFERROR(VLOOKUP(B85,калькулятор!E:OJ,MATCH($B73,калькулятор!$3:$3,0)-5,0),"")</f>
      </c>
      <c r="D85" s="98">
        <f>IFERROR(IF(VLOOKUP(B85,калькулятор!E:J,6,0)=0,"",VLOOKUP(B85,калькулятор!E:J,6,0)),"")</f>
      </c>
      <c r="E85" s="99">
        <f t="shared" si="8"/>
      </c>
      <c r="F85" s="100"/>
      <c r="G85" s="50"/>
      <c r="H85" s="76"/>
      <c r="I85" s="101"/>
      <c r="J85" s="102">
        <f>IFERROR(K78-D85,"")</f>
      </c>
      <c r="K85" s="103">
        <f>IFERROR(IF(OR(C73="КУПК",C73="КУПК (РП/ЗРП)"),E85*I85/365*J85*0.5,E85*I85/365*J85),"")</f>
      </c>
      <c r="L85" s="101">
        <f t="shared" si="9"/>
      </c>
      <c r="M85" s="102">
        <f>IFERROR(N78-$D85,"")</f>
      </c>
      <c r="N85" s="103">
        <f>IFERROR(IF(OR(C73="КУПК",C73="КУПК (РП/ЗРП)"),E85*L85/365*M85*0.25,0),"")</f>
      </c>
      <c r="O85" s="104">
        <f t="shared" si="10"/>
      </c>
      <c r="P85" s="102">
        <f>IFERROR(Q78-$D85,"")</f>
      </c>
      <c r="Q85" s="103">
        <f>IFERROR(IF(OR(C73="КУПК",C73="КУПК (РП/ЗРП)"),E85*O85/365*P85*0.25,0),"")</f>
      </c>
      <c r="R85" s="76"/>
      <c r="S85" s="77"/>
      <c r="T85" s="49"/>
      <c r="V85" s="48"/>
      <c r="W85" s="49"/>
      <c r="Y85" s="48"/>
    </row>
    <row r="86" spans="2:25" x14ac:dyDescent="0.25">
      <c r="B86" s="236">
        <f>IF(AND(калькулятор!D$22&gt;0,калькулятор!D$22&lt;&gt;"Ключевая"),калькулятор!E$22,"")</f>
      </c>
      <c r="C86" s="97">
        <f>IFERROR(VLOOKUP(B86,калькулятор!E:OJ,MATCH($B73,калькулятор!$3:$3,0)-5,0),"")</f>
      </c>
      <c r="D86" s="98">
        <f>IFERROR(IF(VLOOKUP(B86,калькулятор!E:J,6,0)=0,"",VLOOKUP(B86,калькулятор!E:J,6,0)),"")</f>
      </c>
      <c r="E86" s="99">
        <f t="shared" si="8"/>
      </c>
      <c r="F86" s="100"/>
      <c r="G86" s="50"/>
      <c r="H86" s="76"/>
      <c r="I86" s="101"/>
      <c r="J86" s="102">
        <f>IFERROR(K78-D86,"")</f>
      </c>
      <c r="K86" s="103">
        <f>IFERROR(IF(OR(C73="КУПК",C73="КУПК (РП/ЗРП)"),E86*I86/365*J86*0.5,E86*I86/365*J86),"")</f>
      </c>
      <c r="L86" s="101">
        <f t="shared" si="9"/>
      </c>
      <c r="M86" s="102">
        <f>IFERROR(N78-$D86,"")</f>
      </c>
      <c r="N86" s="103">
        <f>IFERROR(IF(OR(C73="КУПК",C73="КУПК (РП/ЗРП)"),E86*L86/365*M86*0.25,0),"")</f>
      </c>
      <c r="O86" s="104">
        <f t="shared" si="10"/>
      </c>
      <c r="P86" s="102">
        <f>IFERROR(Q78-$D86,"")</f>
      </c>
      <c r="Q86" s="103">
        <f>IFERROR(IF(OR(C73="КУПК",C73="КУПК (РП/ЗРП)"),E86*O86/365*P86*0.25,0),"")</f>
      </c>
      <c r="R86" s="76"/>
      <c r="S86" s="77"/>
      <c r="T86" s="49"/>
      <c r="V86" s="48"/>
      <c r="W86" s="49"/>
      <c r="Y86" s="48"/>
    </row>
    <row r="87" spans="2:25" x14ac:dyDescent="0.25">
      <c r="B87" s="236">
        <f>IF(AND(калькулятор!D$23&gt;0,калькулятор!D$23&lt;&gt;"Ключевая"),калькулятор!E$23,"")</f>
      </c>
      <c r="C87" s="97">
        <f>IFERROR(VLOOKUP(B87,калькулятор!E:OJ,MATCH($B73,калькулятор!$3:$3,0)-5,0),"")</f>
      </c>
      <c r="D87" s="98">
        <f>IFERROR(IF(VLOOKUP(B87,калькулятор!E:J,6,0)=0,"",VLOOKUP(B87,калькулятор!E:J,6,0)),"")</f>
      </c>
      <c r="E87" s="99">
        <f t="shared" si="8"/>
      </c>
      <c r="F87" s="100"/>
      <c r="G87" s="50"/>
      <c r="H87" s="76"/>
      <c r="I87" s="101"/>
      <c r="J87" s="102">
        <f>IFERROR(K78-D87,"")</f>
      </c>
      <c r="K87" s="103">
        <f>IFERROR(IF(OR(C73="КУПК",C73="КУПК (РП/ЗРП)"),E87*I87/365*J87*0.5,E87*I87/365*J87),"")</f>
      </c>
      <c r="L87" s="101">
        <f t="shared" si="9"/>
      </c>
      <c r="M87" s="102">
        <f>IFERROR(N78-$D87,"")</f>
      </c>
      <c r="N87" s="103">
        <f>IFERROR(IF(OR(C73="КУПК",C73="КУПК (РП/ЗРП)"),E87*L87/365*M87*0.25,0),"")</f>
      </c>
      <c r="O87" s="104">
        <f t="shared" si="10"/>
      </c>
      <c r="P87" s="102">
        <f>IFERROR(Q78-$D87,"")</f>
      </c>
      <c r="Q87" s="103">
        <f>IFERROR(IF(OR(C73="КУПК",C73="КУПК (РП/ЗРП)"),E87*O87/365*P87*0.25,0),"")</f>
      </c>
      <c r="R87" s="76"/>
      <c r="S87" s="77"/>
      <c r="T87" s="49"/>
      <c r="V87" s="48"/>
      <c r="W87" s="49"/>
      <c r="Y87" s="48"/>
    </row>
    <row r="88" spans="2:25" x14ac:dyDescent="0.25">
      <c r="B88" s="236">
        <f>IF(AND(калькулятор!D$24&gt;0,калькулятор!D$24&lt;&gt;"Ключевая"),калькулятор!E$24,"")</f>
      </c>
      <c r="C88" s="97">
        <f>IFERROR(VLOOKUP(B88,калькулятор!E:OJ,MATCH($B73,калькулятор!$3:$3,0)-5,0),"")</f>
      </c>
      <c r="D88" s="98">
        <f>IFERROR(IF(VLOOKUP(B88,калькулятор!E:J,6,0)=0,"",VLOOKUP(B88,калькулятор!E:J,6,0)),"")</f>
      </c>
      <c r="E88" s="99">
        <f t="shared" si="8"/>
      </c>
      <c r="F88" s="100"/>
      <c r="G88" s="50"/>
      <c r="H88" s="76"/>
      <c r="I88" s="101"/>
      <c r="J88" s="102">
        <f>IFERROR(K78-D88,"")</f>
      </c>
      <c r="K88" s="103">
        <f>IFERROR(IF(OR(C73="КУПК",C73="КУПК (РП/ЗРП)"),E88*I88/365*J88*0.5,E88*I88/365*J88),"")</f>
      </c>
      <c r="L88" s="101">
        <f t="shared" si="9"/>
      </c>
      <c r="M88" s="102">
        <f>IFERROR(N78-$D88,"")</f>
      </c>
      <c r="N88" s="103">
        <f>IFERROR(IF(OR(C73="КУПК",C73="КУПК (РП/ЗРП)"),E88*L88/365*M88*0.25,0),"")</f>
      </c>
      <c r="O88" s="104">
        <f t="shared" si="10"/>
      </c>
      <c r="P88" s="102">
        <f>IFERROR(Q78-$D88,"")</f>
      </c>
      <c r="Q88" s="103">
        <f>IFERROR(IF(OR(C73="КУПК",C73="КУПК (РП/ЗРП)"),E88*O88/365*P88*0.25,0),"")</f>
      </c>
      <c r="R88" s="76"/>
      <c r="S88" s="77"/>
      <c r="T88" s="49"/>
      <c r="V88" s="48"/>
      <c r="W88" s="49"/>
      <c r="Y88" s="48"/>
    </row>
    <row r="89" spans="2:25" x14ac:dyDescent="0.25">
      <c r="B89" s="236">
        <f>IF(AND(калькулятор!D$25&gt;0,калькулятор!D$25&lt;&gt;"Ключевая"),калькулятор!E$25,"")</f>
      </c>
      <c r="C89" s="97">
        <f>IFERROR(VLOOKUP(B89,калькулятор!E:OJ,MATCH($B73,калькулятор!$3:$3,0)-5,0),"")</f>
      </c>
      <c r="D89" s="98">
        <f>IFERROR(IF(VLOOKUP(B89,калькулятор!E:J,6,0)=0,"",VLOOKUP(B89,калькулятор!E:J,6,0)),"")</f>
      </c>
      <c r="E89" s="99">
        <f t="shared" si="8"/>
      </c>
      <c r="F89" s="100"/>
      <c r="G89" s="50"/>
      <c r="H89" s="76"/>
      <c r="I89" s="101"/>
      <c r="J89" s="102">
        <f>IFERROR(K78-D89,"")</f>
      </c>
      <c r="K89" s="103">
        <f>IFERROR(IF(OR(C73="КУПК",C73="КУПК (РП/ЗРП)"),E89*I89/365*J89*0.5,E89*I89/365*J89),"")</f>
      </c>
      <c r="L89" s="101">
        <f t="shared" si="9"/>
      </c>
      <c r="M89" s="102">
        <f>IFERROR(N78-$D89,"")</f>
      </c>
      <c r="N89" s="103">
        <f>IFERROR(IF(OR(C73="КУПК",C73="КУПК (РП/ЗРП)"),E89*L89/365*M89*0.25,0),"")</f>
      </c>
      <c r="O89" s="104">
        <f t="shared" si="10"/>
      </c>
      <c r="P89" s="102">
        <f>IFERROR(Q78-$D89,"")</f>
      </c>
      <c r="Q89" s="103">
        <f>IFERROR(IF(OR(C73="КУПК",C73="КУПК (РП/ЗРП)"),E89*O89/365*P89*0.25,0),"")</f>
      </c>
      <c r="R89" s="76"/>
      <c r="S89" s="77"/>
      <c r="T89" s="49"/>
      <c r="V89" s="48"/>
      <c r="W89" s="49"/>
      <c r="Y89" s="48"/>
    </row>
    <row r="90" spans="2:25" x14ac:dyDescent="0.25">
      <c r="B90" s="236">
        <f>IF(AND(калькулятор!D$26&gt;0,калькулятор!D$26&lt;&gt;"Ключевая"),калькулятор!E$26,"")</f>
      </c>
      <c r="C90" s="97">
        <f>IFERROR(VLOOKUP(B90,калькулятор!E:OJ,MATCH($B73,калькулятор!$3:$3,0)-5,0),"")</f>
      </c>
      <c r="D90" s="98">
        <f>IFERROR(IF(VLOOKUP(B90,калькулятор!E:J,6,0)=0,"",VLOOKUP(B90,калькулятор!E:J,6,0)),"")</f>
      </c>
      <c r="E90" s="99">
        <f t="shared" si="8"/>
      </c>
      <c r="F90" s="100"/>
      <c r="G90" s="50"/>
      <c r="H90" s="76"/>
      <c r="I90" s="101"/>
      <c r="J90" s="102">
        <f>IFERROR(K78-D90,"")</f>
      </c>
      <c r="K90" s="103">
        <f>IFERROR(IF(OR(C73="КУПК",C73="КУПК (РП/ЗРП)"),E90*I90/365*J90*0.5,E90*I90/365*J90),"")</f>
      </c>
      <c r="L90" s="101">
        <f t="shared" si="9"/>
      </c>
      <c r="M90" s="102">
        <f>IFERROR(N78-$D90,"")</f>
      </c>
      <c r="N90" s="103">
        <f>IFERROR(IF(OR(C73="КУПК",C73="КУПК (РП/ЗРП)"),E90*L90/365*M90*0.25,0),"")</f>
      </c>
      <c r="O90" s="104">
        <f t="shared" si="10"/>
      </c>
      <c r="P90" s="102">
        <f>IFERROR(Q78-$D90,"")</f>
      </c>
      <c r="Q90" s="103">
        <f>IFERROR(IF(OR(C73="КУПК",C73="КУПК (РП/ЗРП)"),E90*O90/365*P90*0.25,0),"")</f>
      </c>
      <c r="R90" s="76"/>
      <c r="S90" s="77"/>
      <c r="T90" s="49"/>
      <c r="V90" s="48"/>
      <c r="W90" s="49"/>
      <c r="Y90" s="48"/>
    </row>
    <row r="91" spans="2:25" x14ac:dyDescent="0.25">
      <c r="B91" s="236">
        <f>IF(AND(калькулятор!D$27&gt;0,калькулятор!D$27&lt;&gt;"Ключевая"),калькулятор!E$27,"")</f>
      </c>
      <c r="C91" s="97">
        <f>IFERROR(VLOOKUP(B91,калькулятор!E:OJ,MATCH($B73,калькулятор!$3:$3,0)-5,0),"")</f>
      </c>
      <c r="D91" s="98">
        <f>IFERROR(IF(VLOOKUP(B91,калькулятор!E:J,6,0)=0,"",VLOOKUP(B91,калькулятор!E:J,6,0)),"")</f>
      </c>
      <c r="E91" s="99">
        <f t="shared" si="8"/>
      </c>
      <c r="F91" s="100"/>
      <c r="G91" s="50"/>
      <c r="H91" s="76"/>
      <c r="I91" s="101"/>
      <c r="J91" s="102">
        <f>IFERROR(K78-D91,"")</f>
      </c>
      <c r="K91" s="103">
        <f>IFERROR(IF(OR(C73="КУПК",C73="КУПК (РП/ЗРП)"),E91*I91/365*J91*0.5,E91*I91/365*J91),"")</f>
      </c>
      <c r="L91" s="101">
        <f t="shared" si="9"/>
      </c>
      <c r="M91" s="102">
        <f>IFERROR(N78-$D91,"")</f>
      </c>
      <c r="N91" s="103">
        <f>IFERROR(IF(OR(C73="КУПК",C73="КУПК (РП/ЗРП)"),E91*L91/365*M91*0.25,0),"")</f>
      </c>
      <c r="O91" s="104">
        <f t="shared" si="10"/>
      </c>
      <c r="P91" s="102">
        <f>IFERROR(Q78-$D91,"")</f>
      </c>
      <c r="Q91" s="103">
        <f>IFERROR(IF(OR(C73="КУПК",C73="КУПК (РП/ЗРП)"),E91*O91/365*P91*0.25,0),"")</f>
      </c>
      <c r="R91" s="76"/>
      <c r="S91" s="77"/>
      <c r="T91" s="49"/>
      <c r="V91" s="48"/>
      <c r="W91" s="49"/>
      <c r="Y91" s="48"/>
    </row>
    <row r="92" spans="2:25" x14ac:dyDescent="0.25">
      <c r="B92" s="236">
        <f>IF(AND(калькулятор!D$28&gt;0,калькулятор!D$28&lt;&gt;"Ключевая"),калькулятор!E$28,"")</f>
      </c>
      <c r="C92" s="97">
        <f>IFERROR(VLOOKUP(B92,калькулятор!E:OJ,MATCH($B73,калькулятор!$3:$3,0)-5,0),"")</f>
      </c>
      <c r="D92" s="98">
        <f>IFERROR(IF(VLOOKUP(B92,калькулятор!E:J,6,0)=0,"",VLOOKUP(B92,калькулятор!E:J,6,0)),"")</f>
      </c>
      <c r="E92" s="99">
        <f t="shared" si="8"/>
      </c>
      <c r="F92" s="100"/>
      <c r="G92" s="50"/>
      <c r="H92" s="76"/>
      <c r="I92" s="101"/>
      <c r="J92" s="102">
        <f>IFERROR(K78-D92,"")</f>
      </c>
      <c r="K92" s="103">
        <f>IFERROR(IF(OR(C73="КУПК",C73="КУПК (РП/ЗРП)"),E92*I92/365*J92*0.5,E92*I92/365*J92),"")</f>
      </c>
      <c r="L92" s="101">
        <f t="shared" si="9"/>
      </c>
      <c r="M92" s="102">
        <f>IFERROR(N78-$D92,"")</f>
      </c>
      <c r="N92" s="103">
        <f>IFERROR(IF(OR(C73="КУПК",C73="КУПК (РП/ЗРП)"),E92*L92/365*M92*0.25,0),"")</f>
      </c>
      <c r="O92" s="104">
        <f t="shared" si="10"/>
      </c>
      <c r="P92" s="102">
        <f>IFERROR(Q78-$D92,"")</f>
      </c>
      <c r="Q92" s="103">
        <f>IFERROR(IF(OR(C73="КУПК",C73="КУПК (РП/ЗРП)"),E92*O92/365*P92*0.25,0),"")</f>
      </c>
      <c r="R92" s="76"/>
      <c r="S92" s="77"/>
      <c r="T92" s="49"/>
      <c r="V92" s="48"/>
      <c r="W92" s="49"/>
      <c r="Y92" s="48"/>
    </row>
    <row r="93" spans="2:25" x14ac:dyDescent="0.25">
      <c r="B93" s="236">
        <f>IF(AND(калькулятор!D$29&gt;0,калькулятор!D$29&lt;&gt;"Ключевая"),калькулятор!E$29,"")</f>
      </c>
      <c r="C93" s="97">
        <f>IFERROR(VLOOKUP(B93,калькулятор!E:OJ,MATCH($B73,калькулятор!$3:$3,0)-5,0),"")</f>
      </c>
      <c r="D93" s="98">
        <f>IFERROR(IF(VLOOKUP(B93,калькулятор!E:J,6,0)=0,"",VLOOKUP(B93,калькулятор!E:J,6,0)),"")</f>
      </c>
      <c r="E93" s="99">
        <f t="shared" si="8"/>
      </c>
      <c r="F93" s="100"/>
      <c r="G93" s="50"/>
      <c r="H93" s="76"/>
      <c r="I93" s="101"/>
      <c r="J93" s="102">
        <f>IFERROR(K78-D93,"")</f>
      </c>
      <c r="K93" s="103">
        <f>IFERROR(IF(OR(C73="КУПК",C73="КУПК (РП/ЗРП)"),E93*I93/365*J93*0.5,E93*I93/365*J93),"")</f>
      </c>
      <c r="L93" s="101">
        <f t="shared" si="9"/>
      </c>
      <c r="M93" s="102">
        <f>IFERROR(N78-$D93,"")</f>
      </c>
      <c r="N93" s="103">
        <f>IFERROR(IF(OR(C73="КУПК",C73="КУПК (РП/ЗРП)"),E93*L93/365*M93*0.25,0),"")</f>
      </c>
      <c r="O93" s="104">
        <f t="shared" si="10"/>
      </c>
      <c r="P93" s="102">
        <f>IFERROR(Q78-$D93,"")</f>
      </c>
      <c r="Q93" s="103">
        <f>IFERROR(IF(OR(C73="КУПК",C73="КУПК (РП/ЗРП)"),E93*O93/365*P93*0.25,0),"")</f>
      </c>
      <c r="R93" s="76"/>
      <c r="S93" s="77"/>
      <c r="T93" s="49"/>
      <c r="V93" s="48"/>
      <c r="W93" s="49"/>
      <c r="Y93" s="48"/>
    </row>
    <row r="94" spans="2:25" x14ac:dyDescent="0.25">
      <c r="B94" s="236">
        <f>IF(AND(калькулятор!D$30&gt;0,калькулятор!D$30&lt;&gt;"Ключевая"),калькулятор!E$30,"")</f>
      </c>
      <c r="C94" s="97">
        <f>IFERROR(VLOOKUP(B94,калькулятор!E:OJ,MATCH($B73,калькулятор!$3:$3,0)-5,0),"")</f>
      </c>
      <c r="D94" s="98">
        <f>IFERROR(IF(VLOOKUP(B94,калькулятор!E:J,6,0)=0,"",VLOOKUP(B94,калькулятор!E:J,6,0)),"")</f>
      </c>
      <c r="E94" s="99">
        <f t="shared" si="8"/>
      </c>
      <c r="F94" s="100"/>
      <c r="G94" s="50"/>
      <c r="H94" s="76"/>
      <c r="I94" s="101"/>
      <c r="J94" s="102">
        <f>IFERROR(K78-D94,"")</f>
      </c>
      <c r="K94" s="103">
        <f>IFERROR(IF(OR(C73="КУПК",C73="КУПК (РП/ЗРП)"),E94*I94/365*J94*0.5,E94*I94/365*J94),"")</f>
      </c>
      <c r="L94" s="101">
        <f t="shared" si="9"/>
      </c>
      <c r="M94" s="102">
        <f>IFERROR(N78-$D94,"")</f>
      </c>
      <c r="N94" s="103">
        <f>IFERROR(IF(OR(C73="КУПК",C73="КУПК (РП/ЗРП)"),E94*L94/365*M94*0.25,0),"")</f>
      </c>
      <c r="O94" s="104">
        <f t="shared" si="10"/>
      </c>
      <c r="P94" s="102">
        <f>IFERROR(Q78-$D94,"")</f>
      </c>
      <c r="Q94" s="103">
        <f>IFERROR(IF(OR(C73="КУПК",C73="КУПК (РП/ЗРП)"),E94*O94/365*P94*0.25,0),"")</f>
      </c>
      <c r="R94" s="76"/>
      <c r="S94" s="77"/>
      <c r="T94" s="49"/>
      <c r="V94" s="48"/>
      <c r="W94" s="49"/>
      <c r="Y94" s="48"/>
    </row>
    <row r="95" spans="2:25" x14ac:dyDescent="0.25">
      <c r="B95" s="236">
        <f>IF(AND(калькулятор!D$31&gt;0,калькулятор!D$31&lt;&gt;"Ключевая"),калькулятор!E$31,"")</f>
      </c>
      <c r="C95" s="97">
        <f>IFERROR(VLOOKUP(B95,калькулятор!E:OJ,MATCH($B73,калькулятор!$3:$3,0)-5,0),"")</f>
      </c>
      <c r="D95" s="98">
        <f>IFERROR(IF(VLOOKUP(B95,калькулятор!E:J,6,0)=0,"",VLOOKUP(B95,калькулятор!E:J,6,0)),"")</f>
      </c>
      <c r="E95" s="99">
        <f t="shared" si="8"/>
      </c>
      <c r="F95" s="100"/>
      <c r="G95" s="50"/>
      <c r="H95" s="76"/>
      <c r="I95" s="101"/>
      <c r="J95" s="102">
        <f>IFERROR(K78-D95,"")</f>
      </c>
      <c r="K95" s="103">
        <f>IFERROR(IF(OR(C73="КУПК",C73="КУПК (РП/ЗРП)"),E95*I95/365*J95*0.5,E95*I95/365*J95),"")</f>
      </c>
      <c r="L95" s="101">
        <f t="shared" si="9"/>
      </c>
      <c r="M95" s="102">
        <f>IFERROR(N78-$D95,"")</f>
      </c>
      <c r="N95" s="103">
        <f>IFERROR(IF(OR(C73="КУПК",C73="КУПК (РП/ЗРП)"),E95*L95/365*M95*0.25,0),"")</f>
      </c>
      <c r="O95" s="104">
        <f t="shared" si="10"/>
      </c>
      <c r="P95" s="102">
        <f>IFERROR(Q78-$D95,"")</f>
      </c>
      <c r="Q95" s="103">
        <f>IFERROR(IF(OR(C73="КУПК",C73="КУПК (РП/ЗРП)"),E95*O95/365*P95*0.25,0),"")</f>
      </c>
      <c r="R95" s="76"/>
      <c r="S95" s="77"/>
      <c r="T95" s="49"/>
      <c r="V95" s="48"/>
      <c r="W95" s="49"/>
      <c r="Y95" s="48"/>
    </row>
    <row r="96" spans="2:25" x14ac:dyDescent="0.25">
      <c r="B96" s="236">
        <f>IF(AND(калькулятор!D$32&gt;0,калькулятор!D$32&lt;&gt;"Ключевая"),калькулятор!E$32,"")</f>
      </c>
      <c r="C96" s="97">
        <f>IFERROR(VLOOKUP(B96,калькулятор!E:OJ,MATCH($B73,калькулятор!$3:$3,0)-5,0),"")</f>
      </c>
      <c r="D96" s="98">
        <f>IFERROR(IF(VLOOKUP(B96,калькулятор!E:J,6,0)=0,"",VLOOKUP(B96,калькулятор!E:J,6,0)),"")</f>
      </c>
      <c r="E96" s="99">
        <f t="shared" si="8"/>
      </c>
      <c r="F96" s="100"/>
      <c r="G96" s="50"/>
      <c r="H96" s="76"/>
      <c r="I96" s="101"/>
      <c r="J96" s="102">
        <f>IFERROR(K78-D96,"")</f>
      </c>
      <c r="K96" s="103">
        <f>IFERROR(IF(OR(C73="КУПК",C73="КУПК (РП/ЗРП)"),E96*I96/365*J96*0.5,E96*I96/365*J96),"")</f>
      </c>
      <c r="L96" s="101">
        <f t="shared" si="9"/>
      </c>
      <c r="M96" s="102">
        <f>IFERROR(N78-$D96,"")</f>
      </c>
      <c r="N96" s="103">
        <f>IFERROR(IF(OR(C73="КУПК",C73="КУПК (РП/ЗРП)"),E96*L96/365*M96*0.25,0),"")</f>
      </c>
      <c r="O96" s="104">
        <f t="shared" si="10"/>
      </c>
      <c r="P96" s="102">
        <f>IFERROR(Q78-$D96,"")</f>
      </c>
      <c r="Q96" s="103">
        <f>IFERROR(IF(OR(C73="КУПК",C73="КУПК (РП/ЗРП)"),E96*O96/365*P96*0.25,0),"")</f>
      </c>
      <c r="R96" s="76"/>
      <c r="S96" s="77"/>
      <c r="T96" s="49"/>
      <c r="V96" s="48"/>
      <c r="W96" s="49"/>
      <c r="Y96" s="48"/>
    </row>
    <row r="97" spans="2:25" x14ac:dyDescent="0.25">
      <c r="B97" s="236">
        <f>IF(AND(калькулятор!D$33&gt;0,калькулятор!D$33&lt;&gt;"Ключевая"),калькулятор!E$33,"")</f>
      </c>
      <c r="C97" s="97">
        <f>IFERROR(VLOOKUP(B97,калькулятор!E:OJ,MATCH($B73,калькулятор!$3:$3,0)-5,0),"")</f>
      </c>
      <c r="D97" s="98">
        <f>IFERROR(IF(VLOOKUP(B97,калькулятор!E:J,6,0)=0,"",VLOOKUP(B97,калькулятор!E:J,6,0)),"")</f>
      </c>
      <c r="E97" s="99">
        <f t="shared" si="8"/>
      </c>
      <c r="F97" s="100"/>
      <c r="G97" s="50"/>
      <c r="H97" s="74"/>
      <c r="I97" s="101"/>
      <c r="J97" s="102">
        <f>IFERROR(K78-D97,"")</f>
      </c>
      <c r="K97" s="103">
        <f>IFERROR(IF(OR(C73="КУПК",C73="КУПК (РП/ЗРП)"),E97*I97/365*J97*0.5,E97*I97/365*J97),"")</f>
      </c>
      <c r="L97" s="101">
        <f t="shared" si="9"/>
      </c>
      <c r="M97" s="102">
        <f>IFERROR(N78-$D97,"")</f>
      </c>
      <c r="N97" s="103">
        <f>IFERROR(IF(OR(C73="КУПК",C73="КУПК (РП/ЗРП)"),E97*L97/365*M97*0.25,0),"")</f>
      </c>
      <c r="O97" s="104">
        <f t="shared" si="10"/>
      </c>
      <c r="P97" s="102">
        <f>IFERROR(Q78-$D97,"")</f>
      </c>
      <c r="Q97" s="103">
        <f>IFERROR(IF(OR(C73="КУПК",C73="КУПК (РП/ЗРП)"),E97*O97/365*P97*0.25,0),"")</f>
      </c>
      <c r="R97" s="76"/>
      <c r="S97" s="77"/>
      <c r="T97" s="49"/>
      <c r="V97" s="48"/>
      <c r="W97" s="49"/>
      <c r="Y97" s="48"/>
    </row>
    <row r="98" spans="2:25" x14ac:dyDescent="0.25">
      <c r="B98" s="236">
        <f>IF(AND(калькулятор!D$34&gt;0,калькулятор!D$34&lt;&gt;"Ключевая"),калькулятор!E$34,"")</f>
      </c>
      <c r="C98" s="97">
        <f>IFERROR(VLOOKUP(B98,калькулятор!E:OJ,MATCH($B73,калькулятор!$3:$3,0)-5,0),"")</f>
      </c>
      <c r="D98" s="98">
        <f>IFERROR(IF(VLOOKUP(B98,калькулятор!E:J,6,0)=0,"",VLOOKUP(B98,калькулятор!E:J,6,0)),"")</f>
      </c>
      <c r="E98" s="99">
        <f t="shared" si="8"/>
      </c>
      <c r="F98" s="100"/>
      <c r="G98" s="50"/>
      <c r="H98" s="74"/>
      <c r="I98" s="101"/>
      <c r="J98" s="102">
        <f>IFERROR(K78-D98,"")</f>
      </c>
      <c r="K98" s="103">
        <f>IFERROR(IF(OR(C73="КУПК",C73="КУПК (РП/ЗРП)"),E98*I98/365*J98*0.5,E98*I98/365*J98),"")</f>
      </c>
      <c r="L98" s="101">
        <f t="shared" si="9"/>
      </c>
      <c r="M98" s="102">
        <f>IFERROR(N78-$D98,"")</f>
      </c>
      <c r="N98" s="103">
        <f>IFERROR(IF(OR(C73="КУПК",C73="КУПК (РП/ЗРП)"),E98*L98/365*M98*0.25,0),"")</f>
      </c>
      <c r="O98" s="104">
        <f t="shared" si="10"/>
      </c>
      <c r="P98" s="102">
        <f>IFERROR(Q78-$D98,"")</f>
      </c>
      <c r="Q98" s="103">
        <f>IFERROR(IF(OR(C73="КУПК",C73="КУПК (РП/ЗРП)"),E98*O98/365*P98*0.25,0),"")</f>
      </c>
      <c r="R98" s="76"/>
      <c r="S98" s="77"/>
      <c r="T98" s="49"/>
      <c r="V98" s="48"/>
      <c r="W98" s="49"/>
      <c r="Y98" s="48"/>
    </row>
    <row r="99" spans="2:25" x14ac:dyDescent="0.25">
      <c r="B99" s="236">
        <f>IF(AND(калькулятор!D$35&gt;0,калькулятор!D$35&lt;&gt;"Ключевая"),калькулятор!E$35,"")</f>
      </c>
      <c r="C99" s="97">
        <f>IFERROR(VLOOKUP(B99,калькулятор!E:OJ,MATCH($B73,калькулятор!$3:$3,0)-5,0),"")</f>
      </c>
      <c r="D99" s="98">
        <f>IFERROR(IF(VLOOKUP(B99,калькулятор!E:J,6,0)=0,"",VLOOKUP(B99,калькулятор!E:J,6,0)),"")</f>
      </c>
      <c r="E99" s="99">
        <f t="shared" si="8"/>
      </c>
      <c r="F99" s="100"/>
      <c r="G99" s="50"/>
      <c r="H99" s="74"/>
      <c r="I99" s="101"/>
      <c r="J99" s="102">
        <f>IFERROR(K78-D99,"")</f>
      </c>
      <c r="K99" s="103">
        <f>IFERROR(IF(OR(C73="КУПК",C73="КУПК (РП/ЗРП)"),E99*I99/365*J99*0.5,E99*I99/365*J99),"")</f>
      </c>
      <c r="L99" s="101">
        <f t="shared" si="9"/>
      </c>
      <c r="M99" s="102">
        <f>IFERROR(N78-$D99,"")</f>
      </c>
      <c r="N99" s="103">
        <f>IFERROR(IF(OR(C73="КУПК",C73="КУПК (РП/ЗРП)"),E99*L99/365*M99*0.25,0),"")</f>
      </c>
      <c r="O99" s="104">
        <f t="shared" si="10"/>
      </c>
      <c r="P99" s="102">
        <f>IFERROR(Q78-$D99,"")</f>
      </c>
      <c r="Q99" s="103">
        <f>IFERROR(IF(OR(C73="КУПК",C73="КУПК (РП/ЗРП)"),E99*O99/365*P99*0.25,0),"")</f>
      </c>
      <c r="R99" s="76"/>
      <c r="S99" s="77"/>
      <c r="T99" s="49"/>
      <c r="V99" s="48"/>
      <c r="W99" s="49"/>
      <c r="Y99" s="48"/>
    </row>
    <row r="100" spans="2:25" ht="15.75" thickBot="1" x14ac:dyDescent="0.3">
      <c r="B100" s="106">
        <f t="array" ref="B100">INDEX(калькулятор!$E$16:$E$305,MATCH(TRUE,COUNTIF('проценты на отложенную часть'!B80:B99,калькулятор!$E$16:$E$305)=0,0))</f>
      </c>
      <c r="C100" s="107">
        <f>IFERROR(VLOOKUP(B100,калькулятор!E:OJ,MATCH(B73,калькулятор!$3:$3,0)-5,0),"")</f>
      </c>
      <c r="D100" s="108"/>
      <c r="E100" s="109"/>
      <c r="F100" s="110"/>
      <c r="G100" s="50"/>
      <c r="H100" s="74"/>
      <c r="I100" s="111"/>
      <c r="J100" s="112"/>
      <c r="K100" s="113"/>
      <c r="L100" s="111"/>
      <c r="M100" s="112"/>
      <c r="N100" s="113"/>
      <c r="O100" s="114"/>
      <c r="P100" s="115"/>
      <c r="Q100" s="116"/>
      <c r="R100" s="76"/>
      <c r="S100" s="77"/>
    </row>
    <row r="101" spans="2:25" x14ac:dyDescent="0.25">
      <c r="B101" s="117">
        <f>"Финальная веха*"</f>
      </c>
      <c r="C101" s="118">
        <f>IF(OR(C73="КУПК",C73="КУПК (РП/ЗРП)"),C100*50%,C100)</f>
      </c>
      <c r="D101" s="119">
        <f>IFERROR(IF(VLOOKUP(B101,калькулятор!E:J,6,0)=0,"",VLOOKUP(B101,калькулятор!E:J,6,0)),"")</f>
      </c>
      <c r="E101" s="120">
        <f>IF(B101="Финальная веха*",0,IF(D101="","",IF(B101="","",IFERROR(C101/67*33,""))))</f>
      </c>
      <c r="F101" s="121"/>
      <c r="G101" s="74"/>
      <c r="H101" s="74"/>
      <c r="I101" s="101"/>
      <c r="J101" s="102">
        <f>IFERROR(K78-D101,"")</f>
      </c>
      <c r="K101" s="103">
        <f>IFERROR(IF(OR(C73="КУПК",C73="КУПК (РП/ЗРП)"),E101*I101/365*J101*0.5,E101*I101/365*J101),"")</f>
      </c>
      <c r="L101" s="112"/>
      <c r="M101" s="112"/>
      <c r="N101" s="113"/>
      <c r="O101" s="114"/>
      <c r="P101" s="122"/>
      <c r="Q101" s="123"/>
      <c r="R101" s="76"/>
      <c r="S101" s="77"/>
    </row>
    <row r="102" spans="2:25" x14ac:dyDescent="0.25">
      <c r="B102" s="124">
        <f>IF(OR(C73="КУПК",C73="КУПК (РП/ЗРП)"),"Финальная веха (25% ПБ)*","")</f>
      </c>
      <c r="C102" s="125">
        <f>IF(OR(C73="КУПК",C73="КУПК (РП/ЗРП)"),C100*25%,"")</f>
      </c>
      <c r="D102" s="126">
        <f>IFERROR(IF(VLOOKUP(B102,калькулятор!E:J,6,0)=0,"",VLOOKUP(B102,калькулятор!E:J,6,0)),"")</f>
      </c>
      <c r="E102" s="99">
        <f>C102</f>
      </c>
      <c r="F102" s="127"/>
      <c r="G102" s="74"/>
      <c r="H102" s="74"/>
      <c r="I102" s="111"/>
      <c r="J102" s="112"/>
      <c r="K102" s="113"/>
      <c r="L102" s="101"/>
      <c r="M102" s="102">
        <f>IF(OR(C73="КУПК",C73="КУПК (РП/ЗРП)"),IF(D101="","",D102-D101),"")</f>
      </c>
      <c r="N102" s="103">
        <f>IFERROR(IF(D102="","",IF(OR(C73="КУПК",C73="КУПК (РП/ЗРП)"),E102*L102/365*M102,0)),"")</f>
      </c>
      <c r="O102" s="114"/>
      <c r="P102" s="122"/>
      <c r="Q102" s="123"/>
      <c r="R102" s="76"/>
      <c r="S102" s="77"/>
    </row>
    <row r="103" spans="2:25" ht="15.75" thickBot="1" x14ac:dyDescent="0.3">
      <c r="B103" s="128">
        <f>IF(OR(C73="КУПК",C73="КУПК (РП/ЗРП)"),"Финальная веха (25% ПБ) 2 часть*","")</f>
      </c>
      <c r="C103" s="129">
        <f>IF(OR(C73="КУПК",C73="КУПК (РП/ЗРП)"),C100*25%,"")</f>
      </c>
      <c r="D103" s="130">
        <f>IFERROR(IF(VLOOKUP(B103,калькулятор!E:J,6,0)=0,"",VLOOKUP(B103,калькулятор!E:J,6,0)),"")</f>
      </c>
      <c r="E103" s="131">
        <f>C103</f>
      </c>
      <c r="F103" s="132"/>
      <c r="G103" s="74"/>
      <c r="H103" s="74"/>
      <c r="I103" s="111"/>
      <c r="J103" s="112"/>
      <c r="K103" s="113"/>
      <c r="L103" s="111"/>
      <c r="M103" s="112"/>
      <c r="N103" s="113"/>
      <c r="O103" s="104"/>
      <c r="P103" s="102">
        <f>IF(OR(C73="КУПК",C73="КУПК (РП/ЗРП)"),IF(D101="","",D103-D101),"")</f>
      </c>
      <c r="Q103" s="103">
        <f>IFERROR(IF(D103="","",IF(OR(C73="КУПК",C73="КУПК (РП/ЗРП)"),E103*O103/365*P103,0)),"")</f>
      </c>
      <c r="R103" s="76"/>
      <c r="S103" s="133"/>
    </row>
    <row r="104" spans="2:25" x14ac:dyDescent="0.25">
      <c r="B104" s="73"/>
      <c r="C104" s="134"/>
      <c r="D104" s="76"/>
      <c r="E104" s="76"/>
      <c r="F104" s="76"/>
      <c r="G104" s="74"/>
      <c r="H104" s="74"/>
      <c r="I104" s="74"/>
      <c r="J104" s="74"/>
      <c r="K104" s="76"/>
      <c r="L104" s="76"/>
      <c r="M104" s="74"/>
      <c r="N104" s="74"/>
      <c r="O104" s="74"/>
      <c r="P104" s="74"/>
      <c r="Q104" s="74"/>
      <c r="R104" s="76"/>
      <c r="S104" s="133"/>
    </row>
    <row r="105" spans="2:25" ht="15.75" thickBot="1" x14ac:dyDescent="0.3">
      <c r="B105" s="135"/>
      <c r="C105" s="136"/>
      <c r="D105" s="137"/>
      <c r="E105" s="137"/>
      <c r="F105" s="137"/>
      <c r="G105" s="136"/>
      <c r="H105" s="136"/>
      <c r="I105" s="136"/>
      <c r="J105" s="136"/>
      <c r="K105" s="137"/>
      <c r="L105" s="137"/>
      <c r="M105" s="136"/>
      <c r="N105" s="136"/>
      <c r="O105" s="136"/>
      <c r="P105" s="136"/>
      <c r="Q105" s="136"/>
      <c r="R105" s="137"/>
      <c r="S105" s="138"/>
    </row>
    <row r="106" spans="2:25" ht="15.75" thickBot="1" x14ac:dyDescent="0.3"/>
    <row r="107" spans="2:25" s="71" customFormat="1" ht="30" customHeight="1" thickBot="1" x14ac:dyDescent="0.3">
      <c r="B107" s="62">
        <f t="array" ref="B107">INDEX($B$6:$B$37,SMALL(IF(COUNTIF($B$38:$B106,$B$6:$B$37)=0,ROW($B$6:$B$37)-ROW($B$6)+1),1))</f>
      </c>
      <c r="C107" s="63">
        <f>INDEX(калькулятор!$1:$3,1,MATCH(B107,калькулятор!$3:$3,0))</f>
      </c>
      <c r="D107" s="64"/>
      <c r="E107" s="64"/>
      <c r="F107" s="65"/>
      <c r="G107" s="65"/>
      <c r="H107" s="65"/>
      <c r="I107" s="66" t="s">
        <v>72</v>
      </c>
      <c r="J107" s="64" t="s">
        <v>80</v>
      </c>
      <c r="K107" s="67">
        <f>SUM(K114:K137)</f>
      </c>
      <c r="L107" s="68"/>
      <c r="M107" s="68"/>
      <c r="N107" s="67">
        <f>SUM(N114:N137)</f>
      </c>
      <c r="O107" s="68"/>
      <c r="P107" s="68"/>
      <c r="Q107" s="67">
        <f>SUM(Q114:Q137)</f>
      </c>
      <c r="R107" s="69"/>
      <c r="S107" s="70"/>
      <c r="U107" s="72"/>
      <c r="V107" s="72"/>
      <c r="X107" s="72"/>
      <c r="Y107" s="72"/>
    </row>
    <row r="108" spans="2:25" x14ac:dyDescent="0.25">
      <c r="B108" s="73"/>
      <c r="C108" s="74" t="s">
        <v>6</v>
      </c>
      <c r="D108" s="75">
        <f>HLOOKUP(B107,калькулятор!$3:$14,5,0)</f>
      </c>
      <c r="E108" s="76"/>
      <c r="F108" s="74"/>
      <c r="G108" s="74"/>
      <c r="H108" s="74"/>
      <c r="I108" s="74"/>
      <c r="J108" s="76"/>
      <c r="K108" s="76"/>
      <c r="L108" s="74"/>
      <c r="M108" s="74"/>
      <c r="N108" s="74"/>
      <c r="O108" s="74"/>
      <c r="P108" s="74"/>
      <c r="Q108" s="76"/>
      <c r="R108" s="76"/>
      <c r="S108" s="77"/>
    </row>
    <row r="109" spans="2:25" x14ac:dyDescent="0.25">
      <c r="B109" s="78"/>
      <c r="C109" s="74"/>
      <c r="D109" s="76"/>
      <c r="E109" s="76"/>
      <c r="F109" s="74"/>
      <c r="G109" s="74"/>
      <c r="H109" s="74"/>
      <c r="I109" s="74"/>
      <c r="J109" s="76"/>
      <c r="K109" s="76"/>
      <c r="L109" s="74"/>
      <c r="M109" s="74"/>
      <c r="N109" s="74"/>
      <c r="O109" s="74"/>
      <c r="P109" s="74"/>
      <c r="Q109" s="76"/>
      <c r="R109" s="76"/>
      <c r="S109" s="77"/>
    </row>
    <row r="110" spans="2:25" x14ac:dyDescent="0.25">
      <c r="B110" s="79"/>
      <c r="C110" s="74"/>
      <c r="D110" s="76"/>
      <c r="E110" s="76"/>
      <c r="F110" s="74"/>
      <c r="G110" s="74"/>
      <c r="H110" s="74"/>
      <c r="I110" s="74"/>
      <c r="J110" s="76"/>
      <c r="K110" s="76"/>
      <c r="L110" s="74"/>
      <c r="M110" s="74"/>
      <c r="N110" s="74"/>
      <c r="O110" s="74"/>
      <c r="P110" s="74"/>
      <c r="Q110" s="76"/>
      <c r="R110" s="76"/>
      <c r="S110" s="77"/>
    </row>
    <row r="111" spans="2:25" ht="29.45" customHeight="1" x14ac:dyDescent="0.25">
      <c r="B111" s="80"/>
      <c r="C111" s="74"/>
      <c r="D111" s="76"/>
      <c r="E111" s="81"/>
      <c r="F111" s="50"/>
      <c r="G111" s="50"/>
      <c r="H111" s="74"/>
      <c r="I111" s="290">
        <f>IF(OR(C107="КУПК",C107="КУПК (РП/ЗРП)"),"1 выплата (50%)","Выплата")</f>
      </c>
      <c r="J111" s="291"/>
      <c r="K111" s="292"/>
      <c r="L111" s="290">
        <f>IF(OR(C107="КУПК",C107="КУПК (РП/ЗРП)"),"2 выплата (25%)","Выплата")</f>
      </c>
      <c r="M111" s="291"/>
      <c r="N111" s="293"/>
      <c r="O111" s="294">
        <f>IF(OR(C107="КУПК",C107="КУПК (РП/ЗРП)"),"3 выплата (25%)","Выплата")</f>
      </c>
      <c r="P111" s="291"/>
      <c r="Q111" s="293"/>
      <c r="R111" s="76"/>
      <c r="S111" s="77"/>
      <c r="T111" s="49"/>
      <c r="V111" s="48"/>
      <c r="W111" s="49"/>
      <c r="Y111" s="48"/>
    </row>
    <row r="112" spans="2:25" ht="30" x14ac:dyDescent="0.25">
      <c r="B112" s="82"/>
      <c r="C112" s="50" t="s">
        <v>81</v>
      </c>
      <c r="D112" s="83">
        <f>HLOOKUP(B107,калькулятор!$3:$5,3,0)</f>
      </c>
      <c r="E112" s="50"/>
      <c r="F112" s="50"/>
      <c r="G112" s="50"/>
      <c r="H112" s="74"/>
      <c r="I112" s="84" t="s">
        <v>82</v>
      </c>
      <c r="J112" s="85"/>
      <c r="K112" s="86">
        <f>D135</f>
      </c>
      <c r="L112" s="87" t="s">
        <v>82</v>
      </c>
      <c r="M112" s="87"/>
      <c r="N112" s="87">
        <f>D136</f>
      </c>
      <c r="O112" s="87" t="s">
        <v>82</v>
      </c>
      <c r="P112" s="87"/>
      <c r="Q112" s="87">
        <f>D137</f>
      </c>
      <c r="R112" s="76"/>
      <c r="S112" s="77"/>
      <c r="T112" s="49"/>
      <c r="V112" s="48"/>
      <c r="W112" s="49"/>
      <c r="Y112" s="48"/>
    </row>
    <row r="113" spans="2:25" ht="67.5" x14ac:dyDescent="0.25">
      <c r="B113" s="88" t="s">
        <v>83</v>
      </c>
      <c r="C113" s="89" t="s">
        <v>84</v>
      </c>
      <c r="D113" s="90" t="s">
        <v>85</v>
      </c>
      <c r="E113" s="90" t="s">
        <v>7</v>
      </c>
      <c r="F113" s="91" t="s">
        <v>86</v>
      </c>
      <c r="G113" s="50"/>
      <c r="H113" s="92"/>
      <c r="I113" s="93" t="s">
        <v>8</v>
      </c>
      <c r="J113" s="87" t="s">
        <v>9</v>
      </c>
      <c r="K113" s="94" t="s">
        <v>10</v>
      </c>
      <c r="L113" s="93" t="s">
        <v>8</v>
      </c>
      <c r="M113" s="87" t="s">
        <v>9</v>
      </c>
      <c r="N113" s="95" t="s">
        <v>10</v>
      </c>
      <c r="O113" s="96" t="s">
        <v>8</v>
      </c>
      <c r="P113" s="87" t="s">
        <v>9</v>
      </c>
      <c r="Q113" s="95" t="s">
        <v>10</v>
      </c>
      <c r="R113" s="76"/>
      <c r="S113" s="77"/>
      <c r="T113" s="49"/>
      <c r="V113" s="48"/>
      <c r="W113" s="49"/>
      <c r="Y113" s="48"/>
    </row>
    <row r="114" spans="2:25" x14ac:dyDescent="0.25">
      <c r="B114" s="236">
        <f>IF(AND(калькулятор!D$16&gt;0,калькулятор!D$16&lt;&gt;"Ключевая"),калькулятор!E$16,"")</f>
      </c>
      <c r="C114" s="97">
        <f>IFERROR(VLOOKUP(B114,калькулятор!E:OJ,MATCH($B107,калькулятор!$3:$3,0)-5,0),"")</f>
      </c>
      <c r="D114" s="98">
        <f>IFERROR(IF(VLOOKUP(B114,калькулятор!E:J,6,0)=0,"",VLOOKUP(B114,калькулятор!E:J,6,0)),"")</f>
      </c>
      <c r="E114" s="99">
        <f>IF(B114="Финальная веха*",0,IF(D114="","",IF(B114="","",IFERROR(C114/67*33,""))))</f>
      </c>
      <c r="F114" s="100"/>
      <c r="G114" s="50"/>
      <c r="H114" s="76"/>
      <c r="I114" s="101"/>
      <c r="J114" s="102">
        <f>IFERROR(K112-D114,"")</f>
      </c>
      <c r="K114" s="103">
        <f>IFERROR(IF(OR(C107="КУПК",C107="КУПК (РП/ЗРП)"),E114*I114/365*J114*0.5,E114*I114/365*J114),"")</f>
      </c>
      <c r="L114" s="101">
        <f>I114</f>
      </c>
      <c r="M114" s="102">
        <f>IFERROR(N112-$D114,"")</f>
      </c>
      <c r="N114" s="103">
        <f>IFERROR(IF(OR(C107="КУПК",C107="КУПК (РП/ЗРП)"),E114*L114/365*M114*0.25,0),"")</f>
      </c>
      <c r="O114" s="104">
        <f>I114</f>
      </c>
      <c r="P114" s="102">
        <f>IFERROR(Q112-$D114,"")</f>
      </c>
      <c r="Q114" s="103">
        <f>IFERROR(IF(OR(C107="КУПК",C107="КУПК (РП/ЗРП)"),E114*O114/365*P114*0.25,0),"")</f>
      </c>
      <c r="R114" s="76"/>
      <c r="S114" s="77"/>
      <c r="T114" s="49"/>
      <c r="V114" s="48"/>
      <c r="W114" s="49"/>
      <c r="Y114" s="48"/>
    </row>
    <row r="115" spans="2:25" x14ac:dyDescent="0.25">
      <c r="B115" s="236">
        <f>IF(AND(калькулятор!D$17&gt;0,калькулятор!D$17&lt;&gt;"Ключевая"),калькулятор!E$17,"")</f>
      </c>
      <c r="C115" s="97">
        <f>IFERROR(VLOOKUP(B115,калькулятор!E:OJ,MATCH($B107,калькулятор!$3:$3,0)-5,0),"")</f>
      </c>
      <c r="D115" s="98">
        <f>IFERROR(IF(VLOOKUP(B115,калькулятор!E:J,6,0)=0,"",VLOOKUP(B115,калькулятор!E:J,6,0)),"")</f>
      </c>
      <c r="E115" s="99">
        <f t="shared" ref="E115:E133" si="11">IF(B115="Финальная веха*",0,IF(D115="","",IF(B115="","",IFERROR(C115/67*33,""))))</f>
      </c>
      <c r="F115" s="100"/>
      <c r="G115" s="50"/>
      <c r="H115" s="76"/>
      <c r="I115" s="101"/>
      <c r="J115" s="102">
        <f>IFERROR(K112-D115,"")</f>
      </c>
      <c r="K115" s="103">
        <f>IFERROR(IF(OR(C107="КУПК",C107="КУПК (РП/ЗРП)"),E115*I115/365*J115*0.5,E115*I115/365*J115),"")</f>
      </c>
      <c r="L115" s="101">
        <f t="shared" ref="L115:L133" si="12">I115</f>
      </c>
      <c r="M115" s="102">
        <f>IFERROR(N112-$D115,"")</f>
      </c>
      <c r="N115" s="103">
        <f>IFERROR(IF(OR(C107="КУПК",C107="КУПК (РП/ЗРП)"),E115*L115/365*M115*0.25,0),"")</f>
      </c>
      <c r="O115" s="104">
        <f t="shared" ref="O115:O133" si="13">I115</f>
      </c>
      <c r="P115" s="102">
        <f>IFERROR(Q112-$D115,"")</f>
      </c>
      <c r="Q115" s="103">
        <f>IFERROR(IF(OR(C107="КУПК",C107="КУПК (РП/ЗРП)"),E115*O115/365*P115*0.25,0),"")</f>
      </c>
      <c r="R115" s="76"/>
      <c r="S115" s="77"/>
      <c r="T115" s="49"/>
      <c r="V115" s="48"/>
      <c r="W115" s="49"/>
      <c r="Y115" s="48"/>
    </row>
    <row r="116" spans="2:25" x14ac:dyDescent="0.25">
      <c r="B116" s="236">
        <f>IF(AND(калькулятор!D$18&gt;0,калькулятор!D$18&lt;&gt;"Ключевая"),калькулятор!E$18,"")</f>
      </c>
      <c r="C116" s="97">
        <f>IFERROR(VLOOKUP(B116,калькулятор!E:OJ,MATCH($B107,калькулятор!$3:$3,0)-5,0),"")</f>
      </c>
      <c r="D116" s="98">
        <f>IFERROR(IF(VLOOKUP(B116,калькулятор!E:J,6,0)=0,"",VLOOKUP(B116,калькулятор!E:J,6,0)),"")</f>
      </c>
      <c r="E116" s="99">
        <f t="shared" si="11"/>
      </c>
      <c r="F116" s="100"/>
      <c r="G116" s="50"/>
      <c r="H116" s="76"/>
      <c r="I116" s="101"/>
      <c r="J116" s="102">
        <f>IFERROR(K112-D116,"")</f>
      </c>
      <c r="K116" s="103">
        <f>IFERROR(IF(OR(C107="КУПК",C107="КУПК (РП/ЗРП)"),E116*I116/365*J116*0.5,E116*I116/365*J116),"")</f>
      </c>
      <c r="L116" s="101">
        <f t="shared" si="12"/>
      </c>
      <c r="M116" s="102">
        <f>IFERROR(N112-$D116,"")</f>
      </c>
      <c r="N116" s="103">
        <f>IFERROR(IF(OR(C107="КУПК",C107="КУПК (РП/ЗРП)"),E116*L116/365*M116*0.25,0),"")</f>
      </c>
      <c r="O116" s="104">
        <f t="shared" si="13"/>
      </c>
      <c r="P116" s="102">
        <f>IFERROR(Q112-$D116,"")</f>
      </c>
      <c r="Q116" s="103">
        <f>IFERROR(IF(OR(C107="КУПК",C107="КУПК (РП/ЗРП)"),E116*O116/365*P116*0.25,0),"")</f>
      </c>
      <c r="R116" s="76"/>
      <c r="S116" s="77"/>
      <c r="T116" s="49"/>
      <c r="V116" s="48"/>
      <c r="W116" s="49"/>
      <c r="Y116" s="48"/>
    </row>
    <row r="117" spans="2:25" x14ac:dyDescent="0.25">
      <c r="B117" s="236">
        <f>IF(AND(калькулятор!D$19&gt;0,калькулятор!D$19&lt;&gt;"Ключевая"),калькулятор!E$19,"")</f>
      </c>
      <c r="C117" s="97">
        <f>IFERROR(VLOOKUP(B117,калькулятор!E:OJ,MATCH($B107,калькулятор!$3:$3,0)-5,0),"")</f>
      </c>
      <c r="D117" s="98">
        <f>IFERROR(IF(VLOOKUP(B117,калькулятор!E:J,6,0)=0,"",VLOOKUP(B117,калькулятор!E:J,6,0)),"")</f>
      </c>
      <c r="E117" s="99">
        <f t="shared" si="11"/>
      </c>
      <c r="F117" s="100"/>
      <c r="G117" s="50"/>
      <c r="H117" s="76"/>
      <c r="I117" s="101"/>
      <c r="J117" s="102">
        <f>IFERROR(K112-D117,"")</f>
      </c>
      <c r="K117" s="103">
        <f>IFERROR(IF(OR(C107="КУПК",C107="КУПК (РП/ЗРП)"),E117*I117/365*J117*0.5,E117*I117/365*J117),"")</f>
      </c>
      <c r="L117" s="101">
        <f t="shared" si="12"/>
      </c>
      <c r="M117" s="102">
        <f>IFERROR(N112-$D117,"")</f>
      </c>
      <c r="N117" s="103">
        <f>IFERROR(IF(OR(C107="КУПК",C107="КУПК (РП/ЗРП)"),E117*L117/365*M117*0.25,0),"")</f>
      </c>
      <c r="O117" s="104">
        <f t="shared" si="13"/>
      </c>
      <c r="P117" s="102">
        <f>IFERROR(Q112-$D117,"")</f>
      </c>
      <c r="Q117" s="103">
        <f>IFERROR(IF(OR(C107="КУПК",C107="КУПК (РП/ЗРП)"),E117*O117/365*P117*0.25,0),"")</f>
      </c>
      <c r="R117" s="76"/>
      <c r="S117" s="77"/>
      <c r="T117" s="49"/>
      <c r="V117" s="48"/>
      <c r="W117" s="49"/>
      <c r="Y117" s="48"/>
    </row>
    <row r="118" spans="2:25" x14ac:dyDescent="0.25">
      <c r="B118" s="236">
        <f>IF(AND(калькулятор!D$20&gt;0,калькулятор!D$20&lt;&gt;"Ключевая"),калькулятор!E$20,"")</f>
      </c>
      <c r="C118" s="97">
        <f>IFERROR(VLOOKUP(B118,калькулятор!E:OJ,MATCH($B107,калькулятор!$3:$3,0)-5,0),"")</f>
      </c>
      <c r="D118" s="98">
        <f>IFERROR(IF(VLOOKUP(B118,калькулятор!E:J,6,0)=0,"",VLOOKUP(B118,калькулятор!E:J,6,0)),"")</f>
      </c>
      <c r="E118" s="99">
        <f t="shared" si="11"/>
      </c>
      <c r="F118" s="105"/>
      <c r="G118" s="50"/>
      <c r="H118" s="76"/>
      <c r="I118" s="101"/>
      <c r="J118" s="102">
        <f>IFERROR(K112-D118,"")</f>
      </c>
      <c r="K118" s="103">
        <f>IFERROR(IF(OR(C107="КУПК",C107="КУПК (РП/ЗРП)"),E118*I118/365*J118*0.5,E118*I118/365*J118),"")</f>
      </c>
      <c r="L118" s="101">
        <f t="shared" si="12"/>
      </c>
      <c r="M118" s="102">
        <f>IFERROR(N112-$D118,"")</f>
      </c>
      <c r="N118" s="103">
        <f>IFERROR(IF(OR(C107="КУПК",C107="КУПК (РП/ЗРП)"),E118*L118/365*M118*0.25,0),"")</f>
      </c>
      <c r="O118" s="104">
        <f t="shared" si="13"/>
      </c>
      <c r="P118" s="102">
        <f>IFERROR(Q112-$D118,"")</f>
      </c>
      <c r="Q118" s="103">
        <f>IFERROR(IF(OR(C107="КУПК",C107="КУПК (РП/ЗРП)"),E118*O118/365*P118*0.25,0),"")</f>
      </c>
      <c r="R118" s="76"/>
      <c r="S118" s="77"/>
      <c r="T118" s="49"/>
      <c r="V118" s="48"/>
      <c r="W118" s="49"/>
      <c r="Y118" s="48"/>
    </row>
    <row r="119" spans="2:25" x14ac:dyDescent="0.25">
      <c r="B119" s="236">
        <f>IF(AND(калькулятор!D$21&gt;0,калькулятор!D$21&lt;&gt;"Ключевая"),калькулятор!E$21,"")</f>
      </c>
      <c r="C119" s="97">
        <f>IFERROR(VLOOKUP(B119,калькулятор!E:OJ,MATCH($B107,калькулятор!$3:$3,0)-5,0),"")</f>
      </c>
      <c r="D119" s="98">
        <f>IFERROR(IF(VLOOKUP(B119,калькулятор!E:J,6,0)=0,"",VLOOKUP(B119,калькулятор!E:J,6,0)),"")</f>
      </c>
      <c r="E119" s="99">
        <f t="shared" si="11"/>
      </c>
      <c r="F119" s="100"/>
      <c r="G119" s="50"/>
      <c r="H119" s="76"/>
      <c r="I119" s="101"/>
      <c r="J119" s="102">
        <f>IFERROR(K112-D119,"")</f>
      </c>
      <c r="K119" s="103">
        <f>IFERROR(IF(OR(C107="КУПК",C107="КУПК (РП/ЗРП)"),E119*I119/365*J119*0.5,E119*I119/365*J119),"")</f>
      </c>
      <c r="L119" s="101">
        <f t="shared" si="12"/>
      </c>
      <c r="M119" s="102">
        <f>IFERROR(N112-$D119,"")</f>
      </c>
      <c r="N119" s="103">
        <f>IFERROR(IF(OR(C107="КУПК",C107="КУПК (РП/ЗРП)"),E119*L119/365*M119*0.25,0),"")</f>
      </c>
      <c r="O119" s="104">
        <f t="shared" si="13"/>
      </c>
      <c r="P119" s="102">
        <f>IFERROR(Q112-$D119,"")</f>
      </c>
      <c r="Q119" s="103">
        <f>IFERROR(IF(OR(C107="КУПК",C107="КУПК (РП/ЗРП)"),E119*O119/365*P119*0.25,0),"")</f>
      </c>
      <c r="R119" s="76"/>
      <c r="S119" s="77"/>
      <c r="T119" s="49"/>
      <c r="V119" s="48"/>
      <c r="W119" s="49"/>
      <c r="Y119" s="48"/>
    </row>
    <row r="120" spans="2:25" x14ac:dyDescent="0.25">
      <c r="B120" s="236">
        <f>IF(AND(калькулятор!D$22&gt;0,калькулятор!D$22&lt;&gt;"Ключевая"),калькулятор!E$22,"")</f>
      </c>
      <c r="C120" s="97">
        <f>IFERROR(VLOOKUP(B120,калькулятор!E:OJ,MATCH($B107,калькулятор!$3:$3,0)-5,0),"")</f>
      </c>
      <c r="D120" s="98">
        <f>IFERROR(IF(VLOOKUP(B120,калькулятор!E:J,6,0)=0,"",VLOOKUP(B120,калькулятор!E:J,6,0)),"")</f>
      </c>
      <c r="E120" s="99">
        <f t="shared" si="11"/>
      </c>
      <c r="F120" s="100"/>
      <c r="G120" s="50"/>
      <c r="H120" s="76"/>
      <c r="I120" s="101"/>
      <c r="J120" s="102">
        <f>IFERROR(K112-D120,"")</f>
      </c>
      <c r="K120" s="103">
        <f>IFERROR(IF(OR(C107="КУПК",C107="КУПК (РП/ЗРП)"),E120*I120/365*J120*0.5,E120*I120/365*J120),"")</f>
      </c>
      <c r="L120" s="101">
        <f t="shared" si="12"/>
      </c>
      <c r="M120" s="102">
        <f>IFERROR(N112-$D120,"")</f>
      </c>
      <c r="N120" s="103">
        <f>IFERROR(IF(OR(C107="КУПК",C107="КУПК (РП/ЗРП)"),E120*L120/365*M120*0.25,0),"")</f>
      </c>
      <c r="O120" s="104">
        <f t="shared" si="13"/>
      </c>
      <c r="P120" s="102">
        <f>IFERROR(Q112-$D120,"")</f>
      </c>
      <c r="Q120" s="103">
        <f>IFERROR(IF(OR(C107="КУПК",C107="КУПК (РП/ЗРП)"),E120*O120/365*P120*0.25,0),"")</f>
      </c>
      <c r="R120" s="76"/>
      <c r="S120" s="77"/>
      <c r="T120" s="49"/>
      <c r="V120" s="48"/>
      <c r="W120" s="49"/>
      <c r="Y120" s="48"/>
    </row>
    <row r="121" spans="2:25" x14ac:dyDescent="0.25">
      <c r="B121" s="236">
        <f>IF(AND(калькулятор!D$23&gt;0,калькулятор!D$23&lt;&gt;"Ключевая"),калькулятор!E$23,"")</f>
      </c>
      <c r="C121" s="97">
        <f>IFERROR(VLOOKUP(B121,калькулятор!E:OJ,MATCH($B107,калькулятор!$3:$3,0)-5,0),"")</f>
      </c>
      <c r="D121" s="98">
        <f>IFERROR(IF(VLOOKUP(B121,калькулятор!E:J,6,0)=0,"",VLOOKUP(B121,калькулятор!E:J,6,0)),"")</f>
      </c>
      <c r="E121" s="99">
        <f t="shared" si="11"/>
      </c>
      <c r="F121" s="100"/>
      <c r="G121" s="50"/>
      <c r="H121" s="76"/>
      <c r="I121" s="101"/>
      <c r="J121" s="102">
        <f>IFERROR(K112-D121,"")</f>
      </c>
      <c r="K121" s="103">
        <f>IFERROR(IF(OR(C107="КУПК",C107="КУПК (РП/ЗРП)"),E121*I121/365*J121*0.5,E121*I121/365*J121),"")</f>
      </c>
      <c r="L121" s="101">
        <f t="shared" si="12"/>
      </c>
      <c r="M121" s="102">
        <f>IFERROR(N112-$D121,"")</f>
      </c>
      <c r="N121" s="103">
        <f>IFERROR(IF(OR(C107="КУПК",C107="КУПК (РП/ЗРП)"),E121*L121/365*M121*0.25,0),"")</f>
      </c>
      <c r="O121" s="104">
        <f t="shared" si="13"/>
      </c>
      <c r="P121" s="102">
        <f>IFERROR(Q112-$D121,"")</f>
      </c>
      <c r="Q121" s="103">
        <f>IFERROR(IF(OR(C107="КУПК",C107="КУПК (РП/ЗРП)"),E121*O121/365*P121*0.25,0),"")</f>
      </c>
      <c r="R121" s="76"/>
      <c r="S121" s="77"/>
      <c r="T121" s="49"/>
      <c r="V121" s="48"/>
      <c r="W121" s="49"/>
      <c r="Y121" s="48"/>
    </row>
    <row r="122" spans="2:25" x14ac:dyDescent="0.25">
      <c r="B122" s="236">
        <f>IF(AND(калькулятор!D$24&gt;0,калькулятор!D$24&lt;&gt;"Ключевая"),калькулятор!E$24,"")</f>
      </c>
      <c r="C122" s="97">
        <f>IFERROR(VLOOKUP(B122,калькулятор!E:OJ,MATCH($B107,калькулятор!$3:$3,0)-5,0),"")</f>
      </c>
      <c r="D122" s="98">
        <f>IFERROR(IF(VLOOKUP(B122,калькулятор!E:J,6,0)=0,"",VLOOKUP(B122,калькулятор!E:J,6,0)),"")</f>
      </c>
      <c r="E122" s="99">
        <f t="shared" si="11"/>
      </c>
      <c r="F122" s="100"/>
      <c r="G122" s="50"/>
      <c r="H122" s="76"/>
      <c r="I122" s="101"/>
      <c r="J122" s="102">
        <f>IFERROR(K112-D122,"")</f>
      </c>
      <c r="K122" s="103">
        <f>IFERROR(IF(OR(C107="КУПК",C107="КУПК (РП/ЗРП)"),E122*I122/365*J122*0.5,E122*I122/365*J122),"")</f>
      </c>
      <c r="L122" s="101">
        <f t="shared" si="12"/>
      </c>
      <c r="M122" s="102">
        <f>IFERROR(N112-$D122,"")</f>
      </c>
      <c r="N122" s="103">
        <f>IFERROR(IF(OR(C107="КУПК",C107="КУПК (РП/ЗРП)"),E122*L122/365*M122*0.25,0),"")</f>
      </c>
      <c r="O122" s="104">
        <f t="shared" si="13"/>
      </c>
      <c r="P122" s="102">
        <f>IFERROR(Q112-$D122,"")</f>
      </c>
      <c r="Q122" s="103">
        <f>IFERROR(IF(OR(C107="КУПК",C107="КУПК (РП/ЗРП)"),E122*O122/365*P122*0.25,0),"")</f>
      </c>
      <c r="R122" s="76"/>
      <c r="S122" s="77"/>
      <c r="T122" s="49"/>
      <c r="V122" s="48"/>
      <c r="W122" s="49"/>
      <c r="Y122" s="48"/>
    </row>
    <row r="123" spans="2:25" x14ac:dyDescent="0.25">
      <c r="B123" s="236">
        <f>IF(AND(калькулятор!D$25&gt;0,калькулятор!D$25&lt;&gt;"Ключевая"),калькулятор!E$25,"")</f>
      </c>
      <c r="C123" s="97">
        <f>IFERROR(VLOOKUP(B123,калькулятор!E:OJ,MATCH($B107,калькулятор!$3:$3,0)-5,0),"")</f>
      </c>
      <c r="D123" s="98">
        <f>IFERROR(IF(VLOOKUP(B123,калькулятор!E:J,6,0)=0,"",VLOOKUP(B123,калькулятор!E:J,6,0)),"")</f>
      </c>
      <c r="E123" s="99">
        <f t="shared" si="11"/>
      </c>
      <c r="F123" s="100"/>
      <c r="G123" s="50"/>
      <c r="H123" s="76"/>
      <c r="I123" s="101"/>
      <c r="J123" s="102">
        <f>IFERROR(K112-D123,"")</f>
      </c>
      <c r="K123" s="103">
        <f>IFERROR(IF(OR(C107="КУПК",C107="КУПК (РП/ЗРП)"),E123*I123/365*J123*0.5,E123*I123/365*J123),"")</f>
      </c>
      <c r="L123" s="101">
        <f t="shared" si="12"/>
      </c>
      <c r="M123" s="102">
        <f>IFERROR(N112-$D123,"")</f>
      </c>
      <c r="N123" s="103">
        <f>IFERROR(IF(OR(C107="КУПК",C107="КУПК (РП/ЗРП)"),E123*L123/365*M123*0.25,0),"")</f>
      </c>
      <c r="O123" s="104">
        <f t="shared" si="13"/>
      </c>
      <c r="P123" s="102">
        <f>IFERROR(Q112-$D123,"")</f>
      </c>
      <c r="Q123" s="103">
        <f>IFERROR(IF(OR(C107="КУПК",C107="КУПК (РП/ЗРП)"),E123*O123/365*P123*0.25,0),"")</f>
      </c>
      <c r="R123" s="76"/>
      <c r="S123" s="77"/>
      <c r="T123" s="49"/>
      <c r="V123" s="48"/>
      <c r="W123" s="49"/>
      <c r="Y123" s="48"/>
    </row>
    <row r="124" spans="2:25" x14ac:dyDescent="0.25">
      <c r="B124" s="236">
        <f>IF(AND(калькулятор!D$26&gt;0,калькулятор!D$26&lt;&gt;"Ключевая"),калькулятор!E$26,"")</f>
      </c>
      <c r="C124" s="97">
        <f>IFERROR(VLOOKUP(B124,калькулятор!E:OJ,MATCH($B107,калькулятор!$3:$3,0)-5,0),"")</f>
      </c>
      <c r="D124" s="98">
        <f>IFERROR(IF(VLOOKUP(B124,калькулятор!E:J,6,0)=0,"",VLOOKUP(B124,калькулятор!E:J,6,0)),"")</f>
      </c>
      <c r="E124" s="99">
        <f t="shared" si="11"/>
      </c>
      <c r="F124" s="100"/>
      <c r="G124" s="50"/>
      <c r="H124" s="76"/>
      <c r="I124" s="101"/>
      <c r="J124" s="102">
        <f>IFERROR(K112-D124,"")</f>
      </c>
      <c r="K124" s="103">
        <f>IFERROR(IF(OR(C107="КУПК",C107="КУПК (РП/ЗРП)"),E124*I124/365*J124*0.5,E124*I124/365*J124),"")</f>
      </c>
      <c r="L124" s="101">
        <f t="shared" si="12"/>
      </c>
      <c r="M124" s="102">
        <f>IFERROR(N112-$D124,"")</f>
      </c>
      <c r="N124" s="103">
        <f>IFERROR(IF(OR(C107="КУПК",C107="КУПК (РП/ЗРП)"),E124*L124/365*M124*0.25,0),"")</f>
      </c>
      <c r="O124" s="104">
        <f t="shared" si="13"/>
      </c>
      <c r="P124" s="102">
        <f>IFERROR(Q112-$D124,"")</f>
      </c>
      <c r="Q124" s="103">
        <f>IFERROR(IF(OR(C107="КУПК",C107="КУПК (РП/ЗРП)"),E124*O124/365*P124*0.25,0),"")</f>
      </c>
      <c r="R124" s="76"/>
      <c r="S124" s="77"/>
      <c r="T124" s="49"/>
      <c r="V124" s="48"/>
      <c r="W124" s="49"/>
      <c r="Y124" s="48"/>
    </row>
    <row r="125" spans="2:25" x14ac:dyDescent="0.25">
      <c r="B125" s="236">
        <f>IF(AND(калькулятор!D$27&gt;0,калькулятор!D$27&lt;&gt;"Ключевая"),калькулятор!E$27,"")</f>
      </c>
      <c r="C125" s="97">
        <f>IFERROR(VLOOKUP(B125,калькулятор!E:OJ,MATCH($B107,калькулятор!$3:$3,0)-5,0),"")</f>
      </c>
      <c r="D125" s="98">
        <f>IFERROR(IF(VLOOKUP(B125,калькулятор!E:J,6,0)=0,"",VLOOKUP(B125,калькулятор!E:J,6,0)),"")</f>
      </c>
      <c r="E125" s="99">
        <f t="shared" si="11"/>
      </c>
      <c r="F125" s="100"/>
      <c r="G125" s="50"/>
      <c r="H125" s="76"/>
      <c r="I125" s="101"/>
      <c r="J125" s="102">
        <f>IFERROR(K112-D125,"")</f>
      </c>
      <c r="K125" s="103">
        <f>IFERROR(IF(OR(C107="КУПК",C107="КУПК (РП/ЗРП)"),E125*I125/365*J125*0.5,E125*I125/365*J125),"")</f>
      </c>
      <c r="L125" s="101">
        <f t="shared" si="12"/>
      </c>
      <c r="M125" s="102">
        <f>IFERROR(N112-$D125,"")</f>
      </c>
      <c r="N125" s="103">
        <f>IFERROR(IF(OR(C107="КУПК",C107="КУПК (РП/ЗРП)"),E125*L125/365*M125*0.25,0),"")</f>
      </c>
      <c r="O125" s="104">
        <f t="shared" si="13"/>
      </c>
      <c r="P125" s="102">
        <f>IFERROR(Q112-$D125,"")</f>
      </c>
      <c r="Q125" s="103">
        <f>IFERROR(IF(OR(C107="КУПК",C107="КУПК (РП/ЗРП)"),E125*O125/365*P125*0.25,0),"")</f>
      </c>
      <c r="R125" s="76"/>
      <c r="S125" s="77"/>
      <c r="T125" s="49"/>
      <c r="V125" s="48"/>
      <c r="W125" s="49"/>
      <c r="Y125" s="48"/>
    </row>
    <row r="126" spans="2:25" x14ac:dyDescent="0.25">
      <c r="B126" s="236">
        <f>IF(AND(калькулятор!D$28&gt;0,калькулятор!D$28&lt;&gt;"Ключевая"),калькулятор!E$28,"")</f>
      </c>
      <c r="C126" s="97">
        <f>IFERROR(VLOOKUP(B126,калькулятор!E:OJ,MATCH($B107,калькулятор!$3:$3,0)-5,0),"")</f>
      </c>
      <c r="D126" s="98">
        <f>IFERROR(IF(VLOOKUP(B126,калькулятор!E:J,6,0)=0,"",VLOOKUP(B126,калькулятор!E:J,6,0)),"")</f>
      </c>
      <c r="E126" s="99">
        <f t="shared" si="11"/>
      </c>
      <c r="F126" s="100"/>
      <c r="G126" s="50"/>
      <c r="H126" s="76"/>
      <c r="I126" s="101"/>
      <c r="J126" s="102">
        <f>IFERROR(K112-D126,"")</f>
      </c>
      <c r="K126" s="103">
        <f>IFERROR(IF(OR(C107="КУПК",C107="КУПК (РП/ЗРП)"),E126*I126/365*J126*0.5,E126*I126/365*J126),"")</f>
      </c>
      <c r="L126" s="101">
        <f t="shared" si="12"/>
      </c>
      <c r="M126" s="102">
        <f>IFERROR(N112-$D126,"")</f>
      </c>
      <c r="N126" s="103">
        <f>IFERROR(IF(OR(C107="КУПК",C107="КУПК (РП/ЗРП)"),E126*L126/365*M126*0.25,0),"")</f>
      </c>
      <c r="O126" s="104">
        <f t="shared" si="13"/>
      </c>
      <c r="P126" s="102">
        <f>IFERROR(Q112-$D126,"")</f>
      </c>
      <c r="Q126" s="103">
        <f>IFERROR(IF(OR(C107="КУПК",C107="КУПК (РП/ЗРП)"),E126*O126/365*P126*0.25,0),"")</f>
      </c>
      <c r="R126" s="76"/>
      <c r="S126" s="77"/>
      <c r="T126" s="49"/>
      <c r="V126" s="48"/>
      <c r="W126" s="49"/>
      <c r="Y126" s="48"/>
    </row>
    <row r="127" spans="2:25" x14ac:dyDescent="0.25">
      <c r="B127" s="236">
        <f>IF(AND(калькулятор!D$29&gt;0,калькулятор!D$29&lt;&gt;"Ключевая"),калькулятор!E$29,"")</f>
      </c>
      <c r="C127" s="97">
        <f>IFERROR(VLOOKUP(B127,калькулятор!E:OJ,MATCH($B107,калькулятор!$3:$3,0)-5,0),"")</f>
      </c>
      <c r="D127" s="98">
        <f>IFERROR(IF(VLOOKUP(B127,калькулятор!E:J,6,0)=0,"",VLOOKUP(B127,калькулятор!E:J,6,0)),"")</f>
      </c>
      <c r="E127" s="99">
        <f t="shared" si="11"/>
      </c>
      <c r="F127" s="100"/>
      <c r="G127" s="50"/>
      <c r="H127" s="76"/>
      <c r="I127" s="101"/>
      <c r="J127" s="102">
        <f>IFERROR(K112-D127,"")</f>
      </c>
      <c r="K127" s="103">
        <f>IFERROR(IF(OR(C107="КУПК",C107="КУПК (РП/ЗРП)"),E127*I127/365*J127*0.5,E127*I127/365*J127),"")</f>
      </c>
      <c r="L127" s="101">
        <f t="shared" si="12"/>
      </c>
      <c r="M127" s="102">
        <f>IFERROR(N112-$D127,"")</f>
      </c>
      <c r="N127" s="103">
        <f>IFERROR(IF(OR(C107="КУПК",C107="КУПК (РП/ЗРП)"),E127*L127/365*M127*0.25,0),"")</f>
      </c>
      <c r="O127" s="104">
        <f t="shared" si="13"/>
      </c>
      <c r="P127" s="102">
        <f>IFERROR(Q112-$D127,"")</f>
      </c>
      <c r="Q127" s="103">
        <f>IFERROR(IF(OR(C107="КУПК",C107="КУПК (РП/ЗРП)"),E127*O127/365*P127*0.25,0),"")</f>
      </c>
      <c r="R127" s="76"/>
      <c r="S127" s="77"/>
      <c r="T127" s="49"/>
      <c r="V127" s="48"/>
      <c r="W127" s="49"/>
      <c r="Y127" s="48"/>
    </row>
    <row r="128" spans="2:25" x14ac:dyDescent="0.25">
      <c r="B128" s="236">
        <f>IF(AND(калькулятор!D$30&gt;0,калькулятор!D$30&lt;&gt;"Ключевая"),калькулятор!E$30,"")</f>
      </c>
      <c r="C128" s="97">
        <f>IFERROR(VLOOKUP(B128,калькулятор!E:OJ,MATCH($B107,калькулятор!$3:$3,0)-5,0),"")</f>
      </c>
      <c r="D128" s="98">
        <f>IFERROR(IF(VLOOKUP(B128,калькулятор!E:J,6,0)=0,"",VLOOKUP(B128,калькулятор!E:J,6,0)),"")</f>
      </c>
      <c r="E128" s="99">
        <f t="shared" si="11"/>
      </c>
      <c r="F128" s="100"/>
      <c r="G128" s="50"/>
      <c r="H128" s="76"/>
      <c r="I128" s="101"/>
      <c r="J128" s="102">
        <f>IFERROR(K112-D128,"")</f>
      </c>
      <c r="K128" s="103">
        <f>IFERROR(IF(OR(C107="КУПК",C107="КУПК (РП/ЗРП)"),E128*I128/365*J128*0.5,E128*I128/365*J128),"")</f>
      </c>
      <c r="L128" s="101">
        <f t="shared" si="12"/>
      </c>
      <c r="M128" s="102">
        <f>IFERROR(N112-$D128,"")</f>
      </c>
      <c r="N128" s="103">
        <f>IFERROR(IF(OR(C107="КУПК",C107="КУПК (РП/ЗРП)"),E128*L128/365*M128*0.25,0),"")</f>
      </c>
      <c r="O128" s="104">
        <f t="shared" si="13"/>
      </c>
      <c r="P128" s="102">
        <f>IFERROR(Q112-$D128,"")</f>
      </c>
      <c r="Q128" s="103">
        <f>IFERROR(IF(OR(C107="КУПК",C107="КУПК (РП/ЗРП)"),E128*O128/365*P128*0.25,0),"")</f>
      </c>
      <c r="R128" s="76"/>
      <c r="S128" s="77"/>
      <c r="T128" s="49"/>
      <c r="V128" s="48"/>
      <c r="W128" s="49"/>
      <c r="Y128" s="48"/>
    </row>
    <row r="129" spans="2:25" x14ac:dyDescent="0.25">
      <c r="B129" s="236">
        <f>IF(AND(калькулятор!D$31&gt;0,калькулятор!D$31&lt;&gt;"Ключевая"),калькулятор!E$31,"")</f>
      </c>
      <c r="C129" s="97">
        <f>IFERROR(VLOOKUP(B129,калькулятор!E:OJ,MATCH($B107,калькулятор!$3:$3,0)-5,0),"")</f>
      </c>
      <c r="D129" s="98">
        <f>IFERROR(IF(VLOOKUP(B129,калькулятор!E:J,6,0)=0,"",VLOOKUP(B129,калькулятор!E:J,6,0)),"")</f>
      </c>
      <c r="E129" s="99">
        <f t="shared" si="11"/>
      </c>
      <c r="F129" s="100"/>
      <c r="G129" s="50"/>
      <c r="H129" s="76"/>
      <c r="I129" s="101"/>
      <c r="J129" s="102">
        <f>IFERROR(K112-D129,"")</f>
      </c>
      <c r="K129" s="103">
        <f>IFERROR(IF(OR(C107="КУПК",C107="КУПК (РП/ЗРП)"),E129*I129/365*J129*0.5,E129*I129/365*J129),"")</f>
      </c>
      <c r="L129" s="101">
        <f t="shared" si="12"/>
      </c>
      <c r="M129" s="102">
        <f>IFERROR(N112-$D129,"")</f>
      </c>
      <c r="N129" s="103">
        <f>IFERROR(IF(OR(C107="КУПК",C107="КУПК (РП/ЗРП)"),E129*L129/365*M129*0.25,0),"")</f>
      </c>
      <c r="O129" s="104">
        <f t="shared" si="13"/>
      </c>
      <c r="P129" s="102">
        <f>IFERROR(Q112-$D129,"")</f>
      </c>
      <c r="Q129" s="103">
        <f>IFERROR(IF(OR(C107="КУПК",C107="КУПК (РП/ЗРП)"),E129*O129/365*P129*0.25,0),"")</f>
      </c>
      <c r="R129" s="76"/>
      <c r="S129" s="77"/>
      <c r="T129" s="49"/>
      <c r="V129" s="48"/>
      <c r="W129" s="49"/>
      <c r="Y129" s="48"/>
    </row>
    <row r="130" spans="2:25" x14ac:dyDescent="0.25">
      <c r="B130" s="236">
        <f>IF(AND(калькулятор!D$32&gt;0,калькулятор!D$32&lt;&gt;"Ключевая"),калькулятор!E$32,"")</f>
      </c>
      <c r="C130" s="97">
        <f>IFERROR(VLOOKUP(B130,калькулятор!E:OJ,MATCH($B107,калькулятор!$3:$3,0)-5,0),"")</f>
      </c>
      <c r="D130" s="98">
        <f>IFERROR(IF(VLOOKUP(B130,калькулятор!E:J,6,0)=0,"",VLOOKUP(B130,калькулятор!E:J,6,0)),"")</f>
      </c>
      <c r="E130" s="99">
        <f t="shared" si="11"/>
      </c>
      <c r="F130" s="100"/>
      <c r="G130" s="50"/>
      <c r="H130" s="76"/>
      <c r="I130" s="101"/>
      <c r="J130" s="102">
        <f>IFERROR(K112-D130,"")</f>
      </c>
      <c r="K130" s="103">
        <f>IFERROR(IF(OR(C107="КУПК",C107="КУПК (РП/ЗРП)"),E130*I130/365*J130*0.5,E130*I130/365*J130),"")</f>
      </c>
      <c r="L130" s="101">
        <f t="shared" si="12"/>
      </c>
      <c r="M130" s="102">
        <f>IFERROR(N112-$D130,"")</f>
      </c>
      <c r="N130" s="103">
        <f>IFERROR(IF(OR(C107="КУПК",C107="КУПК (РП/ЗРП)"),E130*L130/365*M130*0.25,0),"")</f>
      </c>
      <c r="O130" s="104">
        <f t="shared" si="13"/>
      </c>
      <c r="P130" s="102">
        <f>IFERROR(Q112-$D130,"")</f>
      </c>
      <c r="Q130" s="103">
        <f>IFERROR(IF(OR(C107="КУПК",C107="КУПК (РП/ЗРП)"),E130*O130/365*P130*0.25,0),"")</f>
      </c>
      <c r="R130" s="76"/>
      <c r="S130" s="77"/>
      <c r="T130" s="49"/>
      <c r="V130" s="48"/>
      <c r="W130" s="49"/>
      <c r="Y130" s="48"/>
    </row>
    <row r="131" spans="2:25" x14ac:dyDescent="0.25">
      <c r="B131" s="236">
        <f>IF(AND(калькулятор!D$33&gt;0,калькулятор!D$33&lt;&gt;"Ключевая"),калькулятор!E$33,"")</f>
      </c>
      <c r="C131" s="97">
        <f>IFERROR(VLOOKUP(B131,калькулятор!E:OJ,MATCH($B107,калькулятор!$3:$3,0)-5,0),"")</f>
      </c>
      <c r="D131" s="98">
        <f>IFERROR(IF(VLOOKUP(B131,калькулятор!E:J,6,0)=0,"",VLOOKUP(B131,калькулятор!E:J,6,0)),"")</f>
      </c>
      <c r="E131" s="99">
        <f t="shared" si="11"/>
      </c>
      <c r="F131" s="100"/>
      <c r="G131" s="50"/>
      <c r="H131" s="74"/>
      <c r="I131" s="101"/>
      <c r="J131" s="102">
        <f>IFERROR(K112-D131,"")</f>
      </c>
      <c r="K131" s="103">
        <f>IFERROR(IF(OR(C107="КУПК",C107="КУПК (РП/ЗРП)"),E131*I131/365*J131*0.5,E131*I131/365*J131),"")</f>
      </c>
      <c r="L131" s="101">
        <f t="shared" si="12"/>
      </c>
      <c r="M131" s="102">
        <f>IFERROR(N112-$D131,"")</f>
      </c>
      <c r="N131" s="103">
        <f>IFERROR(IF(OR(C107="КУПК",C107="КУПК (РП/ЗРП)"),E131*L131/365*M131*0.25,0),"")</f>
      </c>
      <c r="O131" s="104">
        <f t="shared" si="13"/>
      </c>
      <c r="P131" s="102">
        <f>IFERROR(Q112-$D131,"")</f>
      </c>
      <c r="Q131" s="103">
        <f>IFERROR(IF(OR(C107="КУПК",C107="КУПК (РП/ЗРП)"),E131*O131/365*P131*0.25,0),"")</f>
      </c>
      <c r="R131" s="76"/>
      <c r="S131" s="77"/>
      <c r="T131" s="49"/>
      <c r="V131" s="48"/>
      <c r="W131" s="49"/>
      <c r="Y131" s="48"/>
    </row>
    <row r="132" spans="2:25" x14ac:dyDescent="0.25">
      <c r="B132" s="236">
        <f>IF(AND(калькулятор!D$34&gt;0,калькулятор!D$34&lt;&gt;"Ключевая"),калькулятор!E$34,"")</f>
      </c>
      <c r="C132" s="97">
        <f>IFERROR(VLOOKUP(B132,калькулятор!E:OJ,MATCH($B107,калькулятор!$3:$3,0)-5,0),"")</f>
      </c>
      <c r="D132" s="98">
        <f>IFERROR(IF(VLOOKUP(B132,калькулятор!E:J,6,0)=0,"",VLOOKUP(B132,калькулятор!E:J,6,0)),"")</f>
      </c>
      <c r="E132" s="99">
        <f t="shared" si="11"/>
      </c>
      <c r="F132" s="100"/>
      <c r="G132" s="50"/>
      <c r="H132" s="74"/>
      <c r="I132" s="101"/>
      <c r="J132" s="102">
        <f>IFERROR(K112-D132,"")</f>
      </c>
      <c r="K132" s="103">
        <f>IFERROR(IF(OR(C107="КУПК",C107="КУПК (РП/ЗРП)"),E132*I132/365*J132*0.5,E132*I132/365*J132),"")</f>
      </c>
      <c r="L132" s="101">
        <f t="shared" si="12"/>
      </c>
      <c r="M132" s="102">
        <f>IFERROR(N112-$D132,"")</f>
      </c>
      <c r="N132" s="103">
        <f>IFERROR(IF(OR(C107="КУПК",C107="КУПК (РП/ЗРП)"),E132*L132/365*M132*0.25,0),"")</f>
      </c>
      <c r="O132" s="104">
        <f t="shared" si="13"/>
      </c>
      <c r="P132" s="102">
        <f>IFERROR(Q112-$D132,"")</f>
      </c>
      <c r="Q132" s="103">
        <f>IFERROR(IF(OR(C107="КУПК",C107="КУПК (РП/ЗРП)"),E132*O132/365*P132*0.25,0),"")</f>
      </c>
      <c r="R132" s="76"/>
      <c r="S132" s="77"/>
      <c r="T132" s="49"/>
      <c r="V132" s="48"/>
      <c r="W132" s="49"/>
      <c r="Y132" s="48"/>
    </row>
    <row r="133" spans="2:25" x14ac:dyDescent="0.25">
      <c r="B133" s="236">
        <f>IF(AND(калькулятор!D$35&gt;0,калькулятор!D$35&lt;&gt;"Ключевая"),калькулятор!E$35,"")</f>
      </c>
      <c r="C133" s="97">
        <f>IFERROR(VLOOKUP(B133,калькулятор!E:OJ,MATCH($B107,калькулятор!$3:$3,0)-5,0),"")</f>
      </c>
      <c r="D133" s="98">
        <f>IFERROR(IF(VLOOKUP(B133,калькулятор!E:J,6,0)=0,"",VLOOKUP(B133,калькулятор!E:J,6,0)),"")</f>
      </c>
      <c r="E133" s="99">
        <f t="shared" si="11"/>
      </c>
      <c r="F133" s="100"/>
      <c r="G133" s="50"/>
      <c r="H133" s="74"/>
      <c r="I133" s="101"/>
      <c r="J133" s="102">
        <f>IFERROR(K112-D133,"")</f>
      </c>
      <c r="K133" s="103">
        <f>IFERROR(IF(OR(C107="КУПК",C107="КУПК (РП/ЗРП)"),E133*I133/365*J133*0.5,E133*I133/365*J133),"")</f>
      </c>
      <c r="L133" s="101">
        <f t="shared" si="12"/>
      </c>
      <c r="M133" s="102">
        <f>IFERROR(N112-$D133,"")</f>
      </c>
      <c r="N133" s="103">
        <f>IFERROR(IF(OR(C107="КУПК",C107="КУПК (РП/ЗРП)"),E133*L133/365*M133*0.25,0),"")</f>
      </c>
      <c r="O133" s="104">
        <f t="shared" si="13"/>
      </c>
      <c r="P133" s="102">
        <f>IFERROR(Q112-$D133,"")</f>
      </c>
      <c r="Q133" s="103">
        <f>IFERROR(IF(OR(C107="КУПК",C107="КУПК (РП/ЗРП)"),E133*O133/365*P133*0.25,0),"")</f>
      </c>
      <c r="R133" s="76"/>
      <c r="S133" s="77"/>
      <c r="T133" s="49"/>
      <c r="V133" s="48"/>
      <c r="W133" s="49"/>
      <c r="Y133" s="48"/>
    </row>
    <row r="134" spans="2:25" ht="15.75" thickBot="1" x14ac:dyDescent="0.3">
      <c r="B134" s="106">
        <f t="array" ref="B134">INDEX(калькулятор!$E$16:$E$305,MATCH(TRUE,COUNTIF('проценты на отложенную часть'!B114:B133,калькулятор!$E$16:$E$305)=0,0))</f>
      </c>
      <c r="C134" s="107">
        <f>IFERROR(VLOOKUP(B134,калькулятор!E:OJ,MATCH(B107,калькулятор!$3:$3,0)-5,0),"")</f>
      </c>
      <c r="D134" s="108"/>
      <c r="E134" s="109"/>
      <c r="F134" s="110"/>
      <c r="G134" s="50"/>
      <c r="H134" s="74"/>
      <c r="I134" s="111"/>
      <c r="J134" s="112"/>
      <c r="K134" s="113"/>
      <c r="L134" s="111"/>
      <c r="M134" s="112"/>
      <c r="N134" s="113"/>
      <c r="O134" s="114"/>
      <c r="P134" s="115"/>
      <c r="Q134" s="116"/>
      <c r="R134" s="76"/>
      <c r="S134" s="77"/>
    </row>
    <row r="135" spans="2:25" x14ac:dyDescent="0.25">
      <c r="B135" s="117">
        <f>"Финальная веха*"</f>
      </c>
      <c r="C135" s="118">
        <f>IF(OR(C107="КУПК",C107="КУПК (РП/ЗРП)"),C134*50%,C134)</f>
      </c>
      <c r="D135" s="119">
        <f>IFERROR(IF(VLOOKUP(B135,калькулятор!E:J,6,0)=0,"",VLOOKUP(B135,калькулятор!E:J,6,0)),"")</f>
      </c>
      <c r="E135" s="120">
        <f>IF(B135="Финальная веха*",0,IF(D135="","",IF(B135="","",IFERROR(C135/67*33,""))))</f>
      </c>
      <c r="F135" s="121"/>
      <c r="G135" s="74"/>
      <c r="H135" s="74"/>
      <c r="I135" s="101"/>
      <c r="J135" s="102">
        <f>IFERROR(K112-D135,"")</f>
      </c>
      <c r="K135" s="103">
        <f>IFERROR(IF(OR(C107="КУПК",C107="КУПК (РП/ЗРП)"),E135*I135/365*J135*0.5,E135*I135/365*J135),"")</f>
      </c>
      <c r="L135" s="112"/>
      <c r="M135" s="112"/>
      <c r="N135" s="113"/>
      <c r="O135" s="114"/>
      <c r="P135" s="122"/>
      <c r="Q135" s="123"/>
      <c r="R135" s="76"/>
      <c r="S135" s="77"/>
    </row>
    <row r="136" spans="2:25" x14ac:dyDescent="0.25">
      <c r="B136" s="124">
        <f>IF(OR(C107="КУПК",C107="КУПК (РП/ЗРП)"),"Финальная веха (25% ПБ)*","")</f>
      </c>
      <c r="C136" s="125">
        <f>IF(OR(C107="КУПК",C107="КУПК (РП/ЗРП)"),C134*25%,"")</f>
      </c>
      <c r="D136" s="126">
        <f>IFERROR(IF(VLOOKUP(B136,калькулятор!E:J,6,0)=0,"",VLOOKUP(B136,калькулятор!E:J,6,0)),"")</f>
      </c>
      <c r="E136" s="99">
        <f>C136</f>
      </c>
      <c r="F136" s="127"/>
      <c r="G136" s="74"/>
      <c r="H136" s="74"/>
      <c r="I136" s="111"/>
      <c r="J136" s="112"/>
      <c r="K136" s="113"/>
      <c r="L136" s="101"/>
      <c r="M136" s="102">
        <f>IF(OR(C107="КУПК",C107="КУПК (РП/ЗРП)"),IF(D135="","",D136-D135),"")</f>
      </c>
      <c r="N136" s="103">
        <f>IFERROR(IF(D136="","",IF(OR(C107="КУПК",C107="КУПК (РП/ЗРП)"),E136*L136/365*M136,0)),"")</f>
      </c>
      <c r="O136" s="114"/>
      <c r="P136" s="122"/>
      <c r="Q136" s="123"/>
      <c r="R136" s="76"/>
      <c r="S136" s="77"/>
    </row>
    <row r="137" spans="2:25" ht="15.75" thickBot="1" x14ac:dyDescent="0.3">
      <c r="B137" s="128">
        <f>IF(OR(C107="КУПК",C107="КУПК (РП/ЗРП)"),"Финальная веха (25% ПБ) 2 часть*","")</f>
      </c>
      <c r="C137" s="129">
        <f>IF(OR(C107="КУПК",C107="КУПК (РП/ЗРП)"),C134*25%,"")</f>
      </c>
      <c r="D137" s="130">
        <f>IFERROR(IF(VLOOKUP(B137,калькулятор!E:J,6,0)=0,"",VLOOKUP(B137,калькулятор!E:J,6,0)),"")</f>
      </c>
      <c r="E137" s="131">
        <f>C137</f>
      </c>
      <c r="F137" s="132"/>
      <c r="G137" s="74"/>
      <c r="H137" s="74"/>
      <c r="I137" s="111"/>
      <c r="J137" s="112"/>
      <c r="K137" s="113"/>
      <c r="L137" s="111"/>
      <c r="M137" s="112"/>
      <c r="N137" s="113"/>
      <c r="O137" s="104"/>
      <c r="P137" s="102">
        <f>IF(OR(C107="КУПК",C107="КУПК (РП/ЗРП)"),IF(D135="","",D137-D135),"")</f>
      </c>
      <c r="Q137" s="103">
        <f>IFERROR(IF(D137="","",IF(OR(C107="КУПК",C107="КУПК (РП/ЗРП)"),E137*O137/365*P137,0)),"")</f>
      </c>
      <c r="R137" s="76"/>
      <c r="S137" s="133"/>
    </row>
    <row r="138" spans="2:25" x14ac:dyDescent="0.25">
      <c r="B138" s="73"/>
      <c r="C138" s="134"/>
      <c r="D138" s="76"/>
      <c r="E138" s="76"/>
      <c r="F138" s="76"/>
      <c r="G138" s="74"/>
      <c r="H138" s="74"/>
      <c r="I138" s="74"/>
      <c r="J138" s="74"/>
      <c r="K138" s="76"/>
      <c r="L138" s="76"/>
      <c r="M138" s="74"/>
      <c r="N138" s="74"/>
      <c r="O138" s="74"/>
      <c r="P138" s="74"/>
      <c r="Q138" s="74"/>
      <c r="R138" s="76"/>
      <c r="S138" s="133"/>
    </row>
    <row r="139" spans="2:25" ht="15.75" thickBot="1" x14ac:dyDescent="0.3">
      <c r="B139" s="135"/>
      <c r="C139" s="136"/>
      <c r="D139" s="137"/>
      <c r="E139" s="137"/>
      <c r="F139" s="137"/>
      <c r="G139" s="136"/>
      <c r="H139" s="136"/>
      <c r="I139" s="136"/>
      <c r="J139" s="136"/>
      <c r="K139" s="137"/>
      <c r="L139" s="137"/>
      <c r="M139" s="136"/>
      <c r="N139" s="136"/>
      <c r="O139" s="136"/>
      <c r="P139" s="136"/>
      <c r="Q139" s="136"/>
      <c r="R139" s="137"/>
      <c r="S139" s="138"/>
    </row>
  </sheetData>
  <mergeCells count="9">
    <mergeCell ref="I111:K111"/>
    <mergeCell ref="L111:N111"/>
    <mergeCell ref="O111:Q111"/>
    <mergeCell ref="I43:K43"/>
    <mergeCell ref="L43:N43"/>
    <mergeCell ref="O43:Q43"/>
    <mergeCell ref="I77:K77"/>
    <mergeCell ref="L77:N77"/>
    <mergeCell ref="O77:Q77"/>
  </mergeCells>
  <conditionalFormatting sqref="L43:Q43 L45:Q45 L46:L65 O67:Q68 L68 O69 I67 O46:O66 L79:Q79 L80:L99 O101:Q102 L102 O103 I101 O80:O100 L113:Q113 L114:L133 O135:Q136 L136 O137 I135 O114:O134">
    <cfRule type="expression" dxfId="27" priority="184">
      <formula>$I$43="Выплата"</formula>
    </cfRule>
  </conditionalFormatting>
  <conditionalFormatting sqref="L44:Q44">
    <cfRule type="expression" dxfId="26" priority="183">
      <formula>$I$43="Выплата"</formula>
    </cfRule>
  </conditionalFormatting>
  <conditionalFormatting sqref="I46:I65">
    <cfRule type="expression" dxfId="25" priority="182">
      <formula>$I$43="Выплата"</formula>
    </cfRule>
  </conditionalFormatting>
  <conditionalFormatting sqref="L66">
    <cfRule type="expression" dxfId="24" priority="181">
      <formula>$I$43="Выплата"</formula>
    </cfRule>
  </conditionalFormatting>
  <conditionalFormatting sqref="I66">
    <cfRule type="expression" dxfId="23" priority="180">
      <formula>$I$43="Выплата"</formula>
    </cfRule>
  </conditionalFormatting>
  <conditionalFormatting sqref="C70">
    <cfRule type="containsText" dxfId="22" priority="179" operator="containsText" text="Ложь">
      <formula>NOT(ISERROR(SEARCH("Ложь",C70)))</formula>
    </cfRule>
  </conditionalFormatting>
  <conditionalFormatting sqref="L69">
    <cfRule type="expression" dxfId="21" priority="178">
      <formula>$I$43="Выплата"</formula>
    </cfRule>
  </conditionalFormatting>
  <conditionalFormatting sqref="I68:I69">
    <cfRule type="expression" dxfId="20" priority="177">
      <formula>$I$43="Выплата"</formula>
    </cfRule>
  </conditionalFormatting>
  <conditionalFormatting sqref="L77:Q77">
    <cfRule type="expression" dxfId="19" priority="176">
      <formula>$I$43="Выплата"</formula>
    </cfRule>
  </conditionalFormatting>
  <conditionalFormatting sqref="L78:Q78">
    <cfRule type="expression" dxfId="18" priority="175">
      <formula>$I$43="Выплата"</formula>
    </cfRule>
  </conditionalFormatting>
  <conditionalFormatting sqref="I80:I99">
    <cfRule type="expression" dxfId="17" priority="174">
      <formula>$I$43="Выплата"</formula>
    </cfRule>
  </conditionalFormatting>
  <conditionalFormatting sqref="L100">
    <cfRule type="expression" dxfId="16" priority="173">
      <formula>$I$43="Выплата"</formula>
    </cfRule>
  </conditionalFormatting>
  <conditionalFormatting sqref="I100">
    <cfRule type="expression" dxfId="15" priority="172">
      <formula>$I$43="Выплата"</formula>
    </cfRule>
  </conditionalFormatting>
  <conditionalFormatting sqref="C104">
    <cfRule type="containsText" dxfId="14" priority="171" operator="containsText" text="Ложь">
      <formula>NOT(ISERROR(SEARCH("Ложь",C104)))</formula>
    </cfRule>
  </conditionalFormatting>
  <conditionalFormatting sqref="L103">
    <cfRule type="expression" dxfId="13" priority="170">
      <formula>$I$43="Выплата"</formula>
    </cfRule>
  </conditionalFormatting>
  <conditionalFormatting sqref="I102:I103">
    <cfRule type="expression" dxfId="12" priority="169">
      <formula>$I$43="Выплата"</formula>
    </cfRule>
  </conditionalFormatting>
  <conditionalFormatting sqref="L111:Q111">
    <cfRule type="expression" dxfId="11" priority="168">
      <formula>$I$43="Выплата"</formula>
    </cfRule>
  </conditionalFormatting>
  <conditionalFormatting sqref="L112:Q112">
    <cfRule type="expression" dxfId="10" priority="167">
      <formula>$I$43="Выплата"</formula>
    </cfRule>
  </conditionalFormatting>
  <conditionalFormatting sqref="I114:I133">
    <cfRule type="expression" dxfId="9" priority="166">
      <formula>$I$43="Выплата"</formula>
    </cfRule>
  </conditionalFormatting>
  <conditionalFormatting sqref="L134">
    <cfRule type="expression" dxfId="8" priority="165">
      <formula>$I$43="Выплата"</formula>
    </cfRule>
  </conditionalFormatting>
  <conditionalFormatting sqref="I134">
    <cfRule type="expression" dxfId="7" priority="164">
      <formula>$I$43="Выплата"</formula>
    </cfRule>
  </conditionalFormatting>
  <conditionalFormatting sqref="C138">
    <cfRule type="containsText" dxfId="6" priority="163" operator="containsText" text="Ложь">
      <formula>NOT(ISERROR(SEARCH("Ложь",C138)))</formula>
    </cfRule>
  </conditionalFormatting>
  <conditionalFormatting sqref="L137">
    <cfRule type="expression" dxfId="5" priority="162">
      <formula>$I$43="Выплата"</formula>
    </cfRule>
  </conditionalFormatting>
  <conditionalFormatting sqref="I136:I137">
    <cfRule type="expression" dxfId="4" priority="161">
      <formula>$I$43="Выплата"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B1:J52"/>
  <sheetViews>
    <sheetView workbookViewId="0">
      <selection activeCell="D18" sqref="D18"/>
    </sheetView>
  </sheetViews>
  <sheetFormatPr defaultRowHeight="15" x14ac:dyDescent="0.25"/>
  <cols>
    <col min="2" max="9" width="17.28515625" customWidth="1"/>
  </cols>
  <sheetData>
    <row r="1" spans="2:10" ht="21.75" thickBot="1" x14ac:dyDescent="0.4">
      <c r="C1" s="298" t="s">
        <v>45</v>
      </c>
      <c r="D1" s="298"/>
      <c r="E1" s="298"/>
      <c r="F1" s="298"/>
      <c r="G1" s="298"/>
      <c r="H1" s="298"/>
    </row>
    <row r="2" spans="2:10" x14ac:dyDescent="0.25">
      <c r="B2" s="16"/>
      <c r="C2" s="17"/>
      <c r="D2" s="17"/>
      <c r="E2" s="17"/>
      <c r="F2" s="17"/>
      <c r="G2" s="17"/>
      <c r="H2" s="17"/>
      <c r="I2" s="17"/>
      <c r="J2" s="18"/>
    </row>
    <row r="3" spans="2:10" x14ac:dyDescent="0.25">
      <c r="B3" s="19" t="s">
        <v>24</v>
      </c>
      <c r="C3" s="4"/>
      <c r="D3" s="5"/>
      <c r="E3" s="5"/>
      <c r="F3" s="5"/>
      <c r="G3" s="4"/>
      <c r="H3" s="6"/>
      <c r="I3" s="4"/>
      <c r="J3" s="20"/>
    </row>
    <row r="4" spans="2:10" x14ac:dyDescent="0.25">
      <c r="B4" s="19"/>
      <c r="C4" s="4"/>
      <c r="D4" s="5"/>
      <c r="E4" s="5"/>
      <c r="F4" s="5"/>
      <c r="G4" s="4"/>
      <c r="H4" s="6"/>
      <c r="I4" s="4"/>
      <c r="J4" s="20"/>
    </row>
    <row r="5" spans="2:10" x14ac:dyDescent="0.25">
      <c r="B5" s="19" t="s">
        <v>47</v>
      </c>
      <c r="C5" s="4"/>
      <c r="D5" s="5"/>
      <c r="E5" s="5"/>
      <c r="F5" s="5"/>
      <c r="G5" s="4"/>
      <c r="H5" s="6"/>
      <c r="I5" s="4"/>
      <c r="J5" s="20"/>
    </row>
    <row r="6" spans="2:10" x14ac:dyDescent="0.25">
      <c r="B6" s="19"/>
      <c r="C6" s="4"/>
      <c r="D6" s="5"/>
      <c r="E6" s="5"/>
      <c r="F6" s="5"/>
      <c r="G6" s="4"/>
      <c r="H6" s="6"/>
      <c r="I6" s="4"/>
      <c r="J6" s="20"/>
    </row>
    <row r="7" spans="2:10" x14ac:dyDescent="0.25">
      <c r="B7" s="19" t="s">
        <v>25</v>
      </c>
      <c r="C7" s="4"/>
      <c r="D7" s="5"/>
      <c r="E7" s="5"/>
      <c r="F7" s="5"/>
      <c r="G7" s="4"/>
      <c r="H7" s="6"/>
      <c r="I7" s="4"/>
      <c r="J7" s="20"/>
    </row>
    <row r="8" spans="2:10" x14ac:dyDescent="0.25">
      <c r="B8" s="21"/>
      <c r="C8" s="4"/>
      <c r="D8" s="5"/>
      <c r="E8" s="5"/>
      <c r="F8" s="5"/>
      <c r="G8" s="4"/>
      <c r="H8" s="6"/>
      <c r="I8" s="4"/>
      <c r="J8" s="20"/>
    </row>
    <row r="9" spans="2:10" x14ac:dyDescent="0.25">
      <c r="B9" s="22" t="s">
        <v>26</v>
      </c>
      <c r="C9" s="4"/>
      <c r="D9" s="7">
        <v>10</v>
      </c>
      <c r="E9" s="5"/>
      <c r="F9" s="5"/>
      <c r="G9" s="4"/>
      <c r="H9" s="6"/>
      <c r="I9" s="4"/>
      <c r="J9" s="20"/>
    </row>
    <row r="10" spans="2:10" x14ac:dyDescent="0.25">
      <c r="B10" s="21"/>
      <c r="C10" s="4"/>
      <c r="D10" s="5"/>
      <c r="E10" s="5"/>
      <c r="F10" s="5"/>
      <c r="G10" s="4"/>
      <c r="H10" s="6"/>
      <c r="I10" s="4"/>
      <c r="J10" s="20"/>
    </row>
    <row r="11" spans="2:10" x14ac:dyDescent="0.25">
      <c r="B11" s="21"/>
      <c r="C11" s="4"/>
      <c r="D11" s="5"/>
      <c r="E11" s="5"/>
      <c r="F11" s="5"/>
      <c r="G11" s="4"/>
      <c r="H11" s="6"/>
      <c r="I11" s="4"/>
      <c r="J11" s="20"/>
    </row>
    <row r="12" spans="2:10" ht="120" x14ac:dyDescent="0.25">
      <c r="B12" s="23" t="s">
        <v>20</v>
      </c>
      <c r="C12" s="8" t="s">
        <v>27</v>
      </c>
      <c r="D12" s="9" t="s">
        <v>28</v>
      </c>
      <c r="E12" s="10" t="s">
        <v>29</v>
      </c>
      <c r="F12" s="10" t="s">
        <v>30</v>
      </c>
      <c r="G12" s="11" t="s">
        <v>31</v>
      </c>
      <c r="H12" s="10" t="s">
        <v>32</v>
      </c>
      <c r="I12" s="11" t="s">
        <v>33</v>
      </c>
      <c r="J12" s="24"/>
    </row>
    <row r="13" spans="2:10" x14ac:dyDescent="0.25">
      <c r="B13" s="25" t="s">
        <v>34</v>
      </c>
      <c r="C13" s="12">
        <v>200000</v>
      </c>
      <c r="D13" s="13">
        <v>0.3</v>
      </c>
      <c r="E13" s="4">
        <f>D13*C13</f>
      </c>
      <c r="F13" s="4">
        <f>SUM(E13+C13)</f>
      </c>
      <c r="G13" s="4">
        <f>C13*$D$9/67%*100%</f>
      </c>
      <c r="H13" s="14">
        <f>D13/$D$9+100%</f>
      </c>
      <c r="I13" s="4">
        <f>G13*H13-C13*($D$9-1)-F13</f>
      </c>
      <c r="J13" s="20"/>
    </row>
    <row r="14" spans="2:10" x14ac:dyDescent="0.25">
      <c r="B14" s="25" t="s">
        <v>35</v>
      </c>
      <c r="C14" s="12">
        <v>200000</v>
      </c>
      <c r="D14" s="13">
        <v>-0.3</v>
      </c>
      <c r="E14" s="4">
        <f t="shared" ref="E14:E22" si="0">D14*C14</f>
      </c>
      <c r="F14" s="4">
        <f t="shared" ref="F14:F22" si="1">SUM(E14+C14)</f>
      </c>
      <c r="G14" s="4">
        <f t="shared" ref="G14:G22" si="2">C14*$D$9/67%*100%</f>
      </c>
      <c r="H14" s="14">
        <f t="shared" ref="H14:H22" si="3">D14/$D$9+100%</f>
      </c>
      <c r="I14" s="4">
        <f t="shared" ref="I14:I22" si="4">G14*H14-C14*($D$9-1)-F14</f>
      </c>
      <c r="J14" s="20"/>
    </row>
    <row r="15" spans="2:10" x14ac:dyDescent="0.25">
      <c r="B15" s="25" t="s">
        <v>36</v>
      </c>
      <c r="C15" s="12">
        <v>330000</v>
      </c>
      <c r="D15" s="13">
        <v>0</v>
      </c>
      <c r="E15" s="4">
        <f t="shared" si="0"/>
      </c>
      <c r="F15" s="4">
        <f t="shared" si="1"/>
      </c>
      <c r="G15" s="4">
        <f t="shared" si="2"/>
      </c>
      <c r="H15" s="14">
        <f t="shared" si="3"/>
      </c>
      <c r="I15" s="4">
        <f t="shared" si="4"/>
      </c>
      <c r="J15" s="20"/>
    </row>
    <row r="16" spans="2:10" x14ac:dyDescent="0.25">
      <c r="B16" s="25" t="s">
        <v>37</v>
      </c>
      <c r="C16" s="12">
        <v>350000</v>
      </c>
      <c r="D16" s="13">
        <v>0</v>
      </c>
      <c r="E16" s="4">
        <f t="shared" si="0"/>
      </c>
      <c r="F16" s="4">
        <f t="shared" si="1"/>
      </c>
      <c r="G16" s="4">
        <f t="shared" si="2"/>
      </c>
      <c r="H16" s="14">
        <f t="shared" si="3"/>
      </c>
      <c r="I16" s="4">
        <f t="shared" si="4"/>
      </c>
      <c r="J16" s="20"/>
    </row>
    <row r="17" spans="2:10" x14ac:dyDescent="0.25">
      <c r="B17" s="25" t="s">
        <v>38</v>
      </c>
      <c r="C17" s="12">
        <v>350000</v>
      </c>
      <c r="D17" s="13">
        <v>0</v>
      </c>
      <c r="E17" s="4">
        <f t="shared" si="0"/>
      </c>
      <c r="F17" s="4">
        <f t="shared" si="1"/>
      </c>
      <c r="G17" s="4">
        <f t="shared" si="2"/>
      </c>
      <c r="H17" s="14">
        <f t="shared" si="3"/>
      </c>
      <c r="I17" s="4">
        <f t="shared" si="4"/>
      </c>
      <c r="J17" s="20"/>
    </row>
    <row r="18" spans="2:10" x14ac:dyDescent="0.25">
      <c r="B18" s="25" t="s">
        <v>39</v>
      </c>
      <c r="C18" s="12">
        <v>100000</v>
      </c>
      <c r="D18" s="13">
        <v>0</v>
      </c>
      <c r="E18" s="4">
        <f t="shared" si="0"/>
      </c>
      <c r="F18" s="4">
        <f t="shared" si="1"/>
      </c>
      <c r="G18" s="4">
        <f t="shared" si="2"/>
      </c>
      <c r="H18" s="14">
        <f t="shared" si="3"/>
      </c>
      <c r="I18" s="4">
        <f t="shared" si="4"/>
      </c>
      <c r="J18" s="20"/>
    </row>
    <row r="19" spans="2:10" x14ac:dyDescent="0.25">
      <c r="B19" s="25" t="s">
        <v>40</v>
      </c>
      <c r="C19" s="12">
        <v>100000</v>
      </c>
      <c r="D19" s="13">
        <v>0</v>
      </c>
      <c r="E19" s="4">
        <f t="shared" si="0"/>
      </c>
      <c r="F19" s="4">
        <f t="shared" si="1"/>
      </c>
      <c r="G19" s="4">
        <f t="shared" si="2"/>
      </c>
      <c r="H19" s="14">
        <f t="shared" si="3"/>
      </c>
      <c r="I19" s="4">
        <f t="shared" si="4"/>
      </c>
      <c r="J19" s="20"/>
    </row>
    <row r="20" spans="2:10" x14ac:dyDescent="0.25">
      <c r="B20" s="25" t="s">
        <v>41</v>
      </c>
      <c r="C20" s="12">
        <v>100000</v>
      </c>
      <c r="D20" s="13">
        <v>0</v>
      </c>
      <c r="E20" s="4">
        <f t="shared" si="0"/>
      </c>
      <c r="F20" s="4">
        <f t="shared" si="1"/>
      </c>
      <c r="G20" s="4">
        <f t="shared" si="2"/>
      </c>
      <c r="H20" s="14">
        <f t="shared" si="3"/>
      </c>
      <c r="I20" s="4">
        <f t="shared" si="4"/>
      </c>
      <c r="J20" s="20"/>
    </row>
    <row r="21" spans="2:10" x14ac:dyDescent="0.25">
      <c r="B21" s="25" t="s">
        <v>42</v>
      </c>
      <c r="C21" s="12">
        <v>100000</v>
      </c>
      <c r="D21" s="13">
        <v>0</v>
      </c>
      <c r="E21" s="4">
        <f t="shared" si="0"/>
      </c>
      <c r="F21" s="4">
        <f t="shared" si="1"/>
      </c>
      <c r="G21" s="4">
        <f t="shared" si="2"/>
      </c>
      <c r="H21" s="14">
        <f t="shared" si="3"/>
      </c>
      <c r="I21" s="4">
        <f t="shared" si="4"/>
      </c>
      <c r="J21" s="20"/>
    </row>
    <row r="22" spans="2:10" x14ac:dyDescent="0.25">
      <c r="B22" s="25" t="s">
        <v>43</v>
      </c>
      <c r="C22" s="12">
        <v>100000</v>
      </c>
      <c r="D22" s="13">
        <v>0</v>
      </c>
      <c r="E22" s="4">
        <f t="shared" si="0"/>
      </c>
      <c r="F22" s="4">
        <f t="shared" si="1"/>
      </c>
      <c r="G22" s="4">
        <f t="shared" si="2"/>
      </c>
      <c r="H22" s="14">
        <f t="shared" si="3"/>
      </c>
      <c r="I22" s="4">
        <f t="shared" si="4"/>
      </c>
      <c r="J22" s="20"/>
    </row>
    <row r="23" spans="2:10" x14ac:dyDescent="0.25">
      <c r="B23" s="21"/>
      <c r="C23" s="297" t="s">
        <v>44</v>
      </c>
      <c r="D23" s="297"/>
      <c r="E23" s="15">
        <f>SUM(E13:E22)</f>
      </c>
      <c r="F23" s="5"/>
      <c r="G23" s="4"/>
      <c r="H23" s="6"/>
      <c r="I23" s="4"/>
      <c r="J23" s="20"/>
    </row>
    <row r="24" spans="2:10" x14ac:dyDescent="0.25">
      <c r="B24" s="21"/>
      <c r="C24" s="4"/>
      <c r="D24" s="5"/>
      <c r="E24" s="5"/>
      <c r="F24" s="5"/>
      <c r="G24" s="4"/>
      <c r="H24" s="6"/>
      <c r="I24" s="4"/>
      <c r="J24" s="20"/>
    </row>
    <row r="25" spans="2:10" x14ac:dyDescent="0.25">
      <c r="B25" s="26"/>
      <c r="C25" s="27"/>
      <c r="D25" s="27"/>
      <c r="E25" s="27"/>
      <c r="F25" s="27"/>
      <c r="G25" s="27"/>
      <c r="H25" s="27"/>
      <c r="I25" s="27"/>
      <c r="J25" s="28"/>
    </row>
    <row r="26" spans="2:10" ht="15.75" thickBot="1" x14ac:dyDescent="0.3">
      <c r="B26" s="29"/>
      <c r="C26" s="30"/>
      <c r="D26" s="30"/>
      <c r="E26" s="30"/>
      <c r="F26" s="30"/>
      <c r="G26" s="30"/>
      <c r="H26" s="30"/>
      <c r="I26" s="30"/>
      <c r="J26" s="31"/>
    </row>
    <row r="28" spans="2:10" ht="21.75" thickBot="1" x14ac:dyDescent="0.4">
      <c r="C28" s="295" t="s">
        <v>6</v>
      </c>
      <c r="D28" s="295"/>
      <c r="E28" s="295"/>
      <c r="F28" s="295"/>
      <c r="G28" s="295"/>
      <c r="H28" s="295"/>
    </row>
    <row r="29" spans="2:10" x14ac:dyDescent="0.25">
      <c r="B29" s="16"/>
      <c r="C29" s="17"/>
      <c r="D29" s="17"/>
      <c r="E29" s="17"/>
      <c r="F29" s="17"/>
      <c r="G29" s="17"/>
      <c r="H29" s="17"/>
      <c r="I29" s="17"/>
      <c r="J29" s="18"/>
    </row>
    <row r="30" spans="2:10" x14ac:dyDescent="0.25">
      <c r="B30" s="32" t="s">
        <v>24</v>
      </c>
      <c r="C30" s="33"/>
      <c r="D30" s="27"/>
      <c r="E30" s="27"/>
      <c r="F30" s="27"/>
      <c r="G30" s="27"/>
      <c r="H30" s="27"/>
      <c r="I30" s="27"/>
      <c r="J30" s="28"/>
    </row>
    <row r="31" spans="2:10" x14ac:dyDescent="0.25">
      <c r="B31" s="32"/>
      <c r="C31" s="33"/>
      <c r="D31" s="27"/>
      <c r="E31" s="27"/>
      <c r="F31" s="27"/>
      <c r="G31" s="27"/>
      <c r="H31" s="27"/>
      <c r="I31" s="27"/>
      <c r="J31" s="28"/>
    </row>
    <row r="32" spans="2:10" x14ac:dyDescent="0.25">
      <c r="B32" s="32" t="s">
        <v>47</v>
      </c>
      <c r="C32" s="33"/>
      <c r="D32" s="27"/>
      <c r="E32" s="27"/>
      <c r="F32" s="27"/>
      <c r="G32" s="27"/>
      <c r="H32" s="27"/>
      <c r="I32" s="27"/>
      <c r="J32" s="28"/>
    </row>
    <row r="33" spans="2:10" x14ac:dyDescent="0.25">
      <c r="B33" s="32"/>
      <c r="C33" s="33"/>
      <c r="D33" s="27"/>
      <c r="E33" s="27"/>
      <c r="F33" s="27"/>
      <c r="G33" s="27"/>
      <c r="H33" s="27"/>
      <c r="I33" s="27"/>
      <c r="J33" s="28"/>
    </row>
    <row r="34" spans="2:10" x14ac:dyDescent="0.25">
      <c r="B34" s="32" t="s">
        <v>25</v>
      </c>
      <c r="C34" s="33"/>
      <c r="D34" s="27"/>
      <c r="E34" s="27"/>
      <c r="F34" s="27"/>
      <c r="G34" s="27"/>
      <c r="H34" s="27"/>
      <c r="I34" s="27"/>
      <c r="J34" s="28"/>
    </row>
    <row r="35" spans="2:10" x14ac:dyDescent="0.25">
      <c r="B35" s="26"/>
      <c r="C35" s="33"/>
      <c r="D35" s="27"/>
      <c r="E35" s="27"/>
      <c r="F35" s="27"/>
      <c r="G35" s="27"/>
      <c r="H35" s="27"/>
      <c r="I35" s="27"/>
      <c r="J35" s="28"/>
    </row>
    <row r="36" spans="2:10" x14ac:dyDescent="0.25">
      <c r="B36" s="26"/>
      <c r="C36" s="33"/>
      <c r="D36" s="27"/>
      <c r="E36" s="27"/>
      <c r="F36" s="27"/>
      <c r="G36" s="27"/>
      <c r="H36" s="27"/>
      <c r="I36" s="27"/>
      <c r="J36" s="28"/>
    </row>
    <row r="37" spans="2:10" ht="45" x14ac:dyDescent="0.25">
      <c r="B37" s="34" t="s">
        <v>20</v>
      </c>
      <c r="C37" s="35" t="s">
        <v>46</v>
      </c>
      <c r="D37" s="36" t="s">
        <v>28</v>
      </c>
      <c r="E37" s="37" t="s">
        <v>29</v>
      </c>
      <c r="F37" s="37" t="s">
        <v>30</v>
      </c>
      <c r="G37" s="37"/>
      <c r="H37" s="27"/>
      <c r="I37" s="27"/>
      <c r="J37" s="28"/>
    </row>
    <row r="38" spans="2:10" x14ac:dyDescent="0.25">
      <c r="B38" s="38" t="s">
        <v>34</v>
      </c>
      <c r="C38" s="39">
        <v>200000</v>
      </c>
      <c r="D38" s="40">
        <v>0.3</v>
      </c>
      <c r="E38" s="33">
        <f>D38*C38</f>
      </c>
      <c r="F38" s="33">
        <f>SUM(E38+C38)</f>
      </c>
      <c r="G38" s="27"/>
      <c r="H38" s="27"/>
      <c r="I38" s="27"/>
      <c r="J38" s="28"/>
    </row>
    <row r="39" spans="2:10" x14ac:dyDescent="0.25">
      <c r="B39" s="38" t="s">
        <v>35</v>
      </c>
      <c r="C39" s="39">
        <v>200000</v>
      </c>
      <c r="D39" s="40">
        <v>-0.3</v>
      </c>
      <c r="E39" s="33">
        <f t="shared" ref="E39:E46" si="5">D39*C39</f>
      </c>
      <c r="F39" s="33">
        <f t="shared" ref="F39:F47" si="6">SUM(E39+C39)</f>
      </c>
      <c r="G39" s="27"/>
      <c r="H39" s="27"/>
      <c r="I39" s="27"/>
      <c r="J39" s="28"/>
    </row>
    <row r="40" spans="2:10" x14ac:dyDescent="0.25">
      <c r="B40" s="38" t="s">
        <v>36</v>
      </c>
      <c r="C40" s="39">
        <v>330000</v>
      </c>
      <c r="D40" s="40">
        <v>0</v>
      </c>
      <c r="E40" s="33">
        <f t="shared" si="5"/>
      </c>
      <c r="F40" s="33">
        <f t="shared" si="6"/>
      </c>
      <c r="G40" s="27"/>
      <c r="H40" s="27"/>
      <c r="I40" s="27"/>
      <c r="J40" s="28"/>
    </row>
    <row r="41" spans="2:10" x14ac:dyDescent="0.25">
      <c r="B41" s="38" t="s">
        <v>37</v>
      </c>
      <c r="C41" s="39">
        <v>350000</v>
      </c>
      <c r="D41" s="40">
        <v>0</v>
      </c>
      <c r="E41" s="33">
        <f t="shared" si="5"/>
      </c>
      <c r="F41" s="33">
        <f t="shared" si="6"/>
      </c>
      <c r="G41" s="27"/>
      <c r="H41" s="27"/>
      <c r="I41" s="27"/>
      <c r="J41" s="28"/>
    </row>
    <row r="42" spans="2:10" x14ac:dyDescent="0.25">
      <c r="B42" s="38" t="s">
        <v>38</v>
      </c>
      <c r="C42" s="39">
        <v>350000</v>
      </c>
      <c r="D42" s="40">
        <v>0</v>
      </c>
      <c r="E42" s="33">
        <f t="shared" si="5"/>
      </c>
      <c r="F42" s="33">
        <f t="shared" si="6"/>
      </c>
      <c r="G42" s="27"/>
      <c r="H42" s="27"/>
      <c r="I42" s="27"/>
      <c r="J42" s="28"/>
    </row>
    <row r="43" spans="2:10" x14ac:dyDescent="0.25">
      <c r="B43" s="38" t="s">
        <v>39</v>
      </c>
      <c r="C43" s="39">
        <v>100000</v>
      </c>
      <c r="D43" s="40">
        <v>0</v>
      </c>
      <c r="E43" s="33">
        <f t="shared" si="5"/>
      </c>
      <c r="F43" s="33">
        <f t="shared" si="6"/>
      </c>
      <c r="G43" s="27"/>
      <c r="H43" s="27"/>
      <c r="I43" s="27"/>
      <c r="J43" s="28"/>
    </row>
    <row r="44" spans="2:10" x14ac:dyDescent="0.25">
      <c r="B44" s="38" t="s">
        <v>40</v>
      </c>
      <c r="C44" s="39">
        <v>100000</v>
      </c>
      <c r="D44" s="40">
        <v>0</v>
      </c>
      <c r="E44" s="33">
        <f t="shared" si="5"/>
      </c>
      <c r="F44" s="33">
        <f t="shared" si="6"/>
      </c>
      <c r="G44" s="27"/>
      <c r="H44" s="27"/>
      <c r="I44" s="27"/>
      <c r="J44" s="28"/>
    </row>
    <row r="45" spans="2:10" x14ac:dyDescent="0.25">
      <c r="B45" s="38" t="s">
        <v>41</v>
      </c>
      <c r="C45" s="39">
        <v>100000</v>
      </c>
      <c r="D45" s="40">
        <v>0</v>
      </c>
      <c r="E45" s="33">
        <f t="shared" si="5"/>
      </c>
      <c r="F45" s="33">
        <f t="shared" si="6"/>
      </c>
      <c r="G45" s="27"/>
      <c r="H45" s="27"/>
      <c r="I45" s="27"/>
      <c r="J45" s="28"/>
    </row>
    <row r="46" spans="2:10" x14ac:dyDescent="0.25">
      <c r="B46" s="38" t="s">
        <v>42</v>
      </c>
      <c r="C46" s="39">
        <v>100000</v>
      </c>
      <c r="D46" s="40">
        <v>0</v>
      </c>
      <c r="E46" s="33">
        <f t="shared" si="5"/>
      </c>
      <c r="F46" s="33">
        <f t="shared" si="6"/>
      </c>
      <c r="G46" s="27"/>
      <c r="H46" s="27"/>
      <c r="I46" s="27"/>
      <c r="J46" s="28"/>
    </row>
    <row r="47" spans="2:10" x14ac:dyDescent="0.25">
      <c r="B47" s="38" t="s">
        <v>43</v>
      </c>
      <c r="C47" s="39">
        <v>100000</v>
      </c>
      <c r="D47" s="40">
        <v>0</v>
      </c>
      <c r="E47" s="33">
        <f>D47*C47</f>
      </c>
      <c r="F47" s="33">
        <f t="shared" si="6"/>
      </c>
      <c r="G47" s="27"/>
      <c r="H47" s="27"/>
      <c r="I47" s="27"/>
      <c r="J47" s="28"/>
    </row>
    <row r="48" spans="2:10" x14ac:dyDescent="0.25">
      <c r="B48" s="26"/>
      <c r="C48" s="296" t="s">
        <v>44</v>
      </c>
      <c r="D48" s="296"/>
      <c r="E48" s="41">
        <f>SUM(E38:E47)</f>
      </c>
      <c r="F48" s="27"/>
      <c r="G48" s="27"/>
      <c r="H48" s="27"/>
      <c r="I48" s="27"/>
      <c r="J48" s="28"/>
    </row>
    <row r="49" spans="2:10" x14ac:dyDescent="0.25">
      <c r="B49" s="26"/>
      <c r="C49" s="33"/>
      <c r="D49" s="27"/>
      <c r="E49" s="27"/>
      <c r="F49" s="27"/>
      <c r="G49" s="27"/>
      <c r="H49" s="27"/>
      <c r="I49" s="27"/>
      <c r="J49" s="28"/>
    </row>
    <row r="50" spans="2:10" x14ac:dyDescent="0.25">
      <c r="B50" s="26"/>
      <c r="C50" s="33"/>
      <c r="D50" s="27"/>
      <c r="E50" s="27"/>
      <c r="F50" s="27"/>
      <c r="G50" s="27"/>
      <c r="H50" s="27"/>
      <c r="I50" s="27"/>
      <c r="J50" s="28"/>
    </row>
    <row r="51" spans="2:10" x14ac:dyDescent="0.25">
      <c r="B51" s="26"/>
      <c r="C51" s="27"/>
      <c r="D51" s="27"/>
      <c r="E51" s="27"/>
      <c r="F51" s="27"/>
      <c r="G51" s="27"/>
      <c r="H51" s="27"/>
      <c r="I51" s="27"/>
      <c r="J51" s="28"/>
    </row>
    <row r="52" spans="2:10" ht="15.75" thickBot="1" x14ac:dyDescent="0.3">
      <c r="B52" s="29"/>
      <c r="C52" s="30"/>
      <c r="D52" s="30"/>
      <c r="E52" s="30"/>
      <c r="F52" s="30"/>
      <c r="G52" s="30"/>
      <c r="H52" s="30"/>
      <c r="I52" s="30"/>
      <c r="J52" s="31"/>
    </row>
  </sheetData>
  <mergeCells count="4">
    <mergeCell ref="C28:H28"/>
    <mergeCell ref="C48:D48"/>
    <mergeCell ref="C23:D23"/>
    <mergeCell ref="C1:H1"/>
  </mergeCells>
  <conditionalFormatting sqref="E23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E48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/>
  <dimension ref="B1:N51"/>
  <sheetViews>
    <sheetView workbookViewId="0">
      <selection activeCell="A6" sqref="A6:XFD7"/>
    </sheetView>
  </sheetViews>
  <sheetFormatPr defaultRowHeight="15" x14ac:dyDescent="0.25"/>
  <cols>
    <col min="2" max="2" width="23.85546875" customWidth="1"/>
    <col min="4" max="4" width="21.42578125" customWidth="1"/>
    <col min="5" max="5" width="0" hidden="1" customWidth="1"/>
    <col min="6" max="6" width="9.140625" hidden="1" customWidth="1"/>
    <col min="7" max="10" width="0" hidden="1" customWidth="1"/>
    <col min="11" max="11" width="9.140625" hidden="1" customWidth="1"/>
    <col min="12" max="12" width="0" hidden="1" customWidth="1"/>
    <col min="13" max="13" width="41.42578125" hidden="1" customWidth="1"/>
    <col min="14" max="14" width="20.42578125" customWidth="1"/>
    <col min="15" max="17" width="29.140625" customWidth="1"/>
    <col min="18" max="18" width="9.140625" customWidth="1"/>
  </cols>
  <sheetData>
    <row r="1" spans="2:14" ht="15" customHeight="1" x14ac:dyDescent="0.25">
      <c r="B1" t="s">
        <v>21</v>
      </c>
      <c r="M1" s="3"/>
      <c r="N1" s="3"/>
    </row>
    <row r="2" spans="2:14" x14ac:dyDescent="0.25">
      <c r="B2" s="2" t="s">
        <v>49</v>
      </c>
      <c r="M2" s="3"/>
      <c r="N2" s="3"/>
    </row>
    <row r="3" spans="2:14" x14ac:dyDescent="0.25">
      <c r="B3" s="2" t="s">
        <v>15</v>
      </c>
      <c r="M3" s="3"/>
      <c r="N3" s="3"/>
    </row>
    <row r="4" spans="2:14" x14ac:dyDescent="0.25">
      <c r="B4" s="1" t="s">
        <v>23</v>
      </c>
      <c r="M4" s="3"/>
      <c r="N4" s="3"/>
    </row>
    <row r="5" spans="2:14" x14ac:dyDescent="0.25">
      <c r="B5" s="1" t="s">
        <v>19</v>
      </c>
      <c r="M5" s="3"/>
      <c r="N5" s="3"/>
    </row>
    <row r="6" spans="2:14" x14ac:dyDescent="0.25">
      <c r="M6" s="3"/>
      <c r="N6" s="3"/>
    </row>
    <row r="7" spans="2:14" x14ac:dyDescent="0.25">
      <c r="M7" s="3"/>
      <c r="N7" s="3"/>
    </row>
    <row r="8" spans="2:14" x14ac:dyDescent="0.25">
      <c r="M8" s="3"/>
      <c r="N8" s="3"/>
    </row>
    <row r="9" spans="2:14" x14ac:dyDescent="0.25">
      <c r="M9" s="3"/>
      <c r="N9" s="3"/>
    </row>
    <row r="10" spans="2:14" x14ac:dyDescent="0.25">
      <c r="B10" t="s">
        <v>22</v>
      </c>
      <c r="M10" s="3"/>
      <c r="N10" s="3"/>
    </row>
    <row r="11" spans="2:14" x14ac:dyDescent="0.25">
      <c r="B11" s="42" t="s">
        <v>16</v>
      </c>
      <c r="M11" s="3"/>
      <c r="N11" s="3"/>
    </row>
    <row r="12" spans="2:14" x14ac:dyDescent="0.25">
      <c r="B12" s="42" t="s">
        <v>14</v>
      </c>
      <c r="M12" s="3"/>
      <c r="N12" s="3"/>
    </row>
    <row r="13" spans="2:14" x14ac:dyDescent="0.25">
      <c r="B13" s="42" t="s">
        <v>17</v>
      </c>
      <c r="M13" s="3"/>
      <c r="N13" s="3"/>
    </row>
    <row r="14" spans="2:14" x14ac:dyDescent="0.25">
      <c r="B14" s="43"/>
      <c r="M14" s="3"/>
      <c r="N14" s="3"/>
    </row>
    <row r="15" spans="2:14" x14ac:dyDescent="0.25">
      <c r="M15" s="3"/>
      <c r="N15" s="3"/>
    </row>
    <row r="16" spans="2:14" x14ac:dyDescent="0.25">
      <c r="M16" s="3"/>
    </row>
    <row r="17" spans="13:13" x14ac:dyDescent="0.25">
      <c r="M17" s="3"/>
    </row>
    <row r="18" spans="13:13" x14ac:dyDescent="0.25">
      <c r="M18" s="3"/>
    </row>
    <row r="19" spans="13:13" x14ac:dyDescent="0.25">
      <c r="M19" s="3"/>
    </row>
    <row r="20" spans="13:13" x14ac:dyDescent="0.25">
      <c r="M20" s="3"/>
    </row>
    <row r="21" spans="13:13" x14ac:dyDescent="0.25">
      <c r="M21" s="3"/>
    </row>
    <row r="22" spans="13:13" x14ac:dyDescent="0.25">
      <c r="M22" s="3"/>
    </row>
    <row r="23" spans="13:13" x14ac:dyDescent="0.25">
      <c r="M23" s="3"/>
    </row>
    <row r="24" spans="13:13" x14ac:dyDescent="0.25">
      <c r="M24" s="3"/>
    </row>
    <row r="25" spans="13:13" x14ac:dyDescent="0.25">
      <c r="M25" s="3"/>
    </row>
    <row r="26" spans="13:13" x14ac:dyDescent="0.25">
      <c r="M26" s="3"/>
    </row>
    <row r="27" spans="13:13" x14ac:dyDescent="0.25">
      <c r="M27" s="3"/>
    </row>
    <row r="28" spans="13:13" x14ac:dyDescent="0.25">
      <c r="M28" s="3"/>
    </row>
    <row r="29" spans="13:13" x14ac:dyDescent="0.25">
      <c r="M29" s="3"/>
    </row>
    <row r="30" spans="13:13" x14ac:dyDescent="0.25">
      <c r="M30" s="3"/>
    </row>
    <row r="31" spans="13:13" x14ac:dyDescent="0.25">
      <c r="M31" s="3"/>
    </row>
    <row r="32" spans="13:13" x14ac:dyDescent="0.25">
      <c r="M32" s="3"/>
    </row>
    <row r="33" spans="13:14" x14ac:dyDescent="0.25">
      <c r="M33" s="3"/>
    </row>
    <row r="34" spans="13:14" x14ac:dyDescent="0.25">
      <c r="M34" s="3"/>
    </row>
    <row r="35" spans="13:14" x14ac:dyDescent="0.25">
      <c r="M35" s="3"/>
    </row>
    <row r="36" spans="13:14" x14ac:dyDescent="0.25">
      <c r="M36" s="3"/>
    </row>
    <row r="37" spans="13:14" x14ac:dyDescent="0.25">
      <c r="M37" s="3"/>
    </row>
    <row r="38" spans="13:14" x14ac:dyDescent="0.25">
      <c r="M38" s="3"/>
    </row>
    <row r="39" spans="13:14" x14ac:dyDescent="0.25">
      <c r="M39" s="3"/>
    </row>
    <row r="40" spans="13:14" x14ac:dyDescent="0.25">
      <c r="M40" s="3"/>
    </row>
    <row r="41" spans="13:14" x14ac:dyDescent="0.25">
      <c r="M41" s="3"/>
    </row>
    <row r="42" spans="13:14" x14ac:dyDescent="0.25">
      <c r="M42" s="3"/>
    </row>
    <row r="43" spans="13:14" x14ac:dyDescent="0.25">
      <c r="M43" s="3"/>
    </row>
    <row r="44" spans="13:14" x14ac:dyDescent="0.25">
      <c r="M44" s="3"/>
    </row>
    <row r="45" spans="13:14" x14ac:dyDescent="0.25">
      <c r="M45" s="3"/>
    </row>
    <row r="46" spans="13:14" x14ac:dyDescent="0.25">
      <c r="M46" s="3"/>
    </row>
    <row r="47" spans="13:14" x14ac:dyDescent="0.25">
      <c r="M47" s="3"/>
    </row>
    <row r="48" spans="13:14" x14ac:dyDescent="0.25">
      <c r="M48" s="3"/>
      <c r="N48" s="3"/>
    </row>
    <row r="49" spans="13:14" x14ac:dyDescent="0.25">
      <c r="M49" s="3"/>
      <c r="N49" s="3"/>
    </row>
    <row r="50" spans="13:14" x14ac:dyDescent="0.25">
      <c r="M50" s="3"/>
      <c r="N50" s="3"/>
    </row>
    <row r="51" spans="13:14" x14ac:dyDescent="0.25">
      <c r="M51" s="3"/>
      <c r="N5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/>
  <dimension ref="A1:W998"/>
  <sheetViews>
    <sheetView workbookViewId="0">
      <selection activeCell="C7" sqref="C7"/>
    </sheetView>
  </sheetViews>
  <sheetFormatPr defaultRowHeight="15" x14ac:dyDescent="0.25"/>
  <cols>
    <col min="1" max="1" width="11.42578125" customWidth="1"/>
    <col min="2" max="2" width="10.5703125" customWidth="1"/>
    <col min="3" max="3" width="46.28515625" customWidth="1"/>
    <col min="8" max="8" width="16.5703125" customWidth="1"/>
    <col min="9" max="9" width="20" customWidth="1"/>
    <col min="12" max="12" width="24" customWidth="1"/>
    <col min="14" max="14" width="10.85546875" customWidth="1"/>
  </cols>
  <sheetData>
    <row r="1" spans="1:23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</row>
    <row r="2" spans="1:23" x14ac:dyDescent="0.25">
      <c r="B2" s="44" t="s">
        <v>79</v>
      </c>
      <c r="C2" s="44" t="s">
        <v>50</v>
      </c>
      <c r="D2" s="44" t="s">
        <v>51</v>
      </c>
      <c r="E2" s="44" t="s">
        <v>100</v>
      </c>
      <c r="F2" s="44" t="s">
        <v>52</v>
      </c>
      <c r="G2" s="44" t="s">
        <v>53</v>
      </c>
      <c r="H2" s="44" t="s">
        <v>54</v>
      </c>
      <c r="I2" s="44" t="s">
        <v>4</v>
      </c>
      <c r="J2" s="44" t="s">
        <v>55</v>
      </c>
      <c r="K2" s="44" t="s">
        <v>56</v>
      </c>
      <c r="L2" s="45" t="s">
        <v>1</v>
      </c>
      <c r="M2" s="44" t="s">
        <v>57</v>
      </c>
      <c r="N2" s="46" t="s">
        <v>58</v>
      </c>
      <c r="O2" s="44" t="s">
        <v>13</v>
      </c>
      <c r="P2" s="44"/>
      <c r="Q2" s="44" t="s">
        <v>59</v>
      </c>
      <c r="R2" s="44" t="s">
        <v>60</v>
      </c>
      <c r="S2" s="44" t="s">
        <v>61</v>
      </c>
      <c r="T2" s="44" t="s">
        <v>62</v>
      </c>
      <c r="U2" s="44" t="s">
        <v>63</v>
      </c>
      <c r="V2" s="44" t="s">
        <v>64</v>
      </c>
      <c r="W2" s="44" t="s">
        <v>65</v>
      </c>
    </row>
    <row r="3" spans="1:23" x14ac:dyDescent="0.25">
      <c r="A3">
        <f>CONCATENATE(C3," ",H3)</f>
        <v xml:space="preserve">Завершены работы по НИС </v>
      </c>
      <c r="B3" s="139" t="s">
        <v>112</v>
      </c>
      <c r="C3" s="139" t="s">
        <v>102</v>
      </c>
      <c r="D3" s="139" t="s">
        <v>102</v>
      </c>
      <c r="E3" s="139" t="s">
        <v>103</v>
      </c>
      <c r="F3" s="139" t="s">
        <v>104</v>
      </c>
      <c r="G3" s="139"/>
      <c r="H3" s="139"/>
      <c r="I3" s="139" t="s">
        <v>105</v>
      </c>
      <c r="J3" s="139"/>
      <c r="K3" s="139"/>
      <c r="L3" s="139" t="s">
        <v>106</v>
      </c>
      <c r="M3" s="139" t="s">
        <v>107</v>
      </c>
      <c r="N3" s="139"/>
      <c r="O3" s="139" t="s">
        <v>78</v>
      </c>
      <c r="P3" s="139" t="s">
        <v>78</v>
      </c>
      <c r="Q3" s="139" t="s">
        <v>103</v>
      </c>
      <c r="R3" s="139" t="s">
        <v>78</v>
      </c>
      <c r="S3" s="139" t="s">
        <v>78</v>
      </c>
      <c r="T3" s="139" t="s">
        <v>78</v>
      </c>
      <c r="U3" s="139" t="s">
        <v>78</v>
      </c>
      <c r="V3" s="139" t="s">
        <v>103</v>
      </c>
      <c r="W3" s="139" t="s">
        <v>108</v>
      </c>
    </row>
    <row r="4" spans="1:23" x14ac:dyDescent="0.25">
      <c r="A4">
        <f>CONCATENATE(C4," ",H4)</f>
        <v xml:space="preserve">Завершены работы по устройству кровли строений </v>
      </c>
      <c r="B4" s="139" t="s">
        <v>112</v>
      </c>
      <c r="C4" s="139" t="s">
        <v>109</v>
      </c>
      <c r="D4" s="139" t="s">
        <v>109</v>
      </c>
      <c r="E4" s="139" t="s">
        <v>103</v>
      </c>
      <c r="F4" s="139" t="s">
        <v>104</v>
      </c>
      <c r="G4" s="139"/>
      <c r="H4" s="139"/>
      <c r="I4" s="139" t="s">
        <v>105</v>
      </c>
      <c r="J4" s="139"/>
      <c r="K4" s="139"/>
      <c r="L4" s="139" t="s">
        <v>110</v>
      </c>
      <c r="M4" s="139" t="s">
        <v>111</v>
      </c>
      <c r="N4" s="139"/>
      <c r="O4" s="139" t="s">
        <v>78</v>
      </c>
      <c r="P4" s="139" t="s">
        <v>78</v>
      </c>
      <c r="Q4" s="139" t="s">
        <v>103</v>
      </c>
      <c r="R4" s="139" t="s">
        <v>78</v>
      </c>
      <c r="S4" s="139" t="s">
        <v>78</v>
      </c>
      <c r="T4" s="139" t="s">
        <v>78</v>
      </c>
      <c r="U4" s="139" t="s">
        <v>78</v>
      </c>
      <c r="V4" s="139" t="s">
        <v>103</v>
      </c>
      <c r="W4" s="139" t="s">
        <v>108</v>
      </c>
    </row>
    <row r="5" spans="1:23" x14ac:dyDescent="0.25">
      <c r="A5">
        <f t="shared" ref="A5:A36" si="0">CONCATENATE(C5," ",H5)</f>
        <v xml:space="preserve">Завершены работы по фасадам </v>
      </c>
      <c r="B5" s="139" t="s">
        <v>112</v>
      </c>
      <c r="C5" s="139" t="s">
        <v>113</v>
      </c>
      <c r="D5" s="139" t="s">
        <v>113</v>
      </c>
      <c r="E5" s="139" t="s">
        <v>103</v>
      </c>
      <c r="F5" s="139" t="s">
        <v>104</v>
      </c>
      <c r="G5" s="139"/>
      <c r="H5" s="139"/>
      <c r="I5" s="139" t="s">
        <v>105</v>
      </c>
      <c r="J5" s="139"/>
      <c r="K5" s="139"/>
      <c r="L5" s="139" t="s">
        <v>114</v>
      </c>
      <c r="M5" s="139" t="s">
        <v>115</v>
      </c>
      <c r="N5" s="139"/>
      <c r="O5" s="139" t="s">
        <v>78</v>
      </c>
      <c r="P5" s="139" t="s">
        <v>103</v>
      </c>
      <c r="Q5" s="139" t="s">
        <v>103</v>
      </c>
      <c r="R5" s="139" t="s">
        <v>78</v>
      </c>
      <c r="S5" s="139" t="s">
        <v>103</v>
      </c>
      <c r="T5" s="139" t="s">
        <v>78</v>
      </c>
      <c r="U5" s="139" t="s">
        <v>78</v>
      </c>
      <c r="V5" s="139" t="s">
        <v>103</v>
      </c>
      <c r="W5" s="139" t="s">
        <v>108</v>
      </c>
    </row>
    <row r="6" spans="1:23" x14ac:dyDescent="0.25">
      <c r="A6">
        <f t="shared" si="0"/>
        <v xml:space="preserve">Завершены комплексные пуско-наладочные испытания для ЗОС </v>
      </c>
      <c r="B6" s="139" t="s">
        <v>112</v>
      </c>
      <c r="C6" s="139" t="s">
        <v>116</v>
      </c>
      <c r="D6" s="139" t="s">
        <v>116</v>
      </c>
      <c r="E6" s="139" t="s">
        <v>103</v>
      </c>
      <c r="F6" s="139" t="s">
        <v>104</v>
      </c>
      <c r="G6" s="139"/>
      <c r="H6" s="139"/>
      <c r="I6" s="139" t="s">
        <v>105</v>
      </c>
      <c r="J6" s="139"/>
      <c r="K6" s="139"/>
      <c r="L6" s="139" t="s">
        <v>117</v>
      </c>
      <c r="M6" s="139" t="s">
        <v>118</v>
      </c>
      <c r="N6" s="139"/>
      <c r="O6" s="139" t="s">
        <v>78</v>
      </c>
      <c r="P6" s="139" t="s">
        <v>103</v>
      </c>
      <c r="Q6" s="139" t="s">
        <v>103</v>
      </c>
      <c r="R6" s="139" t="s">
        <v>78</v>
      </c>
      <c r="S6" s="139" t="s">
        <v>103</v>
      </c>
      <c r="T6" s="139" t="s">
        <v>78</v>
      </c>
      <c r="U6" s="139" t="s">
        <v>78</v>
      </c>
      <c r="V6" s="139" t="s">
        <v>103</v>
      </c>
      <c r="W6" s="139" t="s">
        <v>108</v>
      </c>
    </row>
    <row r="7" spans="1:23" x14ac:dyDescent="0.25">
      <c r="A7">
        <f t="shared" si="0"/>
        <v xml:space="preserve">Получено РнВ </v>
      </c>
      <c r="B7" s="139" t="s">
        <v>112</v>
      </c>
      <c r="C7" s="139" t="s">
        <v>119</v>
      </c>
      <c r="D7" s="139" t="s">
        <v>119</v>
      </c>
      <c r="E7" s="139" t="s">
        <v>78</v>
      </c>
      <c r="F7" s="139" t="s">
        <v>104</v>
      </c>
      <c r="G7" s="139"/>
      <c r="H7" s="139"/>
      <c r="I7" s="139" t="s">
        <v>105</v>
      </c>
      <c r="J7" s="139"/>
      <c r="K7" s="139"/>
      <c r="L7" s="139" t="s">
        <v>120</v>
      </c>
      <c r="M7" s="139" t="s">
        <v>121</v>
      </c>
      <c r="N7" s="139"/>
      <c r="O7" s="139" t="s">
        <v>78</v>
      </c>
      <c r="P7" s="139" t="s">
        <v>103</v>
      </c>
      <c r="Q7" s="139" t="s">
        <v>103</v>
      </c>
      <c r="R7" s="139" t="s">
        <v>78</v>
      </c>
      <c r="S7" s="139" t="s">
        <v>103</v>
      </c>
      <c r="T7" s="139" t="s">
        <v>78</v>
      </c>
      <c r="U7" s="139" t="s">
        <v>78</v>
      </c>
      <c r="V7" s="139" t="s">
        <v>103</v>
      </c>
      <c r="W7" s="139" t="s">
        <v>108</v>
      </c>
    </row>
    <row r="8" spans="1:23" x14ac:dyDescent="0.25">
      <c r="A8">
        <f t="shared" si="0"/>
        <v xml:space="preserve"> </v>
      </c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</row>
    <row r="9" spans="1:23" x14ac:dyDescent="0.25">
      <c r="A9">
        <f t="shared" si="0"/>
        <v xml:space="preserve"> </v>
      </c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</row>
    <row r="10" spans="1:23" x14ac:dyDescent="0.25">
      <c r="A10">
        <f t="shared" si="0"/>
        <v xml:space="preserve"> </v>
      </c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</row>
    <row r="11" spans="1:23" x14ac:dyDescent="0.25">
      <c r="A11">
        <f t="shared" si="0"/>
        <v xml:space="preserve"> </v>
      </c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</row>
    <row r="12" spans="1:23" x14ac:dyDescent="0.25">
      <c r="A12">
        <f t="shared" si="0"/>
        <v xml:space="preserve"> </v>
      </c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</row>
    <row r="13" spans="1:23" x14ac:dyDescent="0.25">
      <c r="A13">
        <f t="shared" si="0"/>
        <v xml:space="preserve"> </v>
      </c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</row>
    <row r="14" spans="1:23" x14ac:dyDescent="0.25">
      <c r="A14">
        <f t="shared" si="0"/>
        <v xml:space="preserve"> </v>
      </c>
    </row>
    <row r="15" spans="1:23" x14ac:dyDescent="0.25">
      <c r="A15">
        <f t="shared" si="0"/>
        <v xml:space="preserve"> </v>
      </c>
    </row>
    <row r="16" spans="1:23" x14ac:dyDescent="0.25">
      <c r="A16">
        <f t="shared" si="0"/>
        <v xml:space="preserve"> </v>
      </c>
    </row>
    <row r="17" spans="1:1" x14ac:dyDescent="0.25">
      <c r="A17">
        <f t="shared" si="0"/>
        <v xml:space="preserve"> </v>
      </c>
    </row>
    <row r="18" spans="1:1" x14ac:dyDescent="0.25">
      <c r="A18">
        <f t="shared" si="0"/>
        <v xml:space="preserve"> </v>
      </c>
    </row>
    <row r="19" spans="1:1" x14ac:dyDescent="0.25">
      <c r="A19">
        <f t="shared" si="0"/>
        <v xml:space="preserve"> </v>
      </c>
    </row>
    <row r="20" spans="1:1" x14ac:dyDescent="0.25">
      <c r="A20">
        <f t="shared" si="0"/>
        <v xml:space="preserve"> </v>
      </c>
    </row>
    <row r="21" spans="1:1" x14ac:dyDescent="0.25">
      <c r="A21">
        <f t="shared" si="0"/>
        <v xml:space="preserve"> </v>
      </c>
    </row>
    <row r="22" spans="1:1" x14ac:dyDescent="0.25">
      <c r="A22">
        <f t="shared" si="0"/>
        <v xml:space="preserve"> </v>
      </c>
    </row>
    <row r="23" spans="1:1" x14ac:dyDescent="0.25">
      <c r="A23">
        <f t="shared" si="0"/>
        <v xml:space="preserve"> </v>
      </c>
    </row>
    <row r="24" spans="1:1" x14ac:dyDescent="0.25">
      <c r="A24">
        <f t="shared" si="0"/>
        <v xml:space="preserve"> </v>
      </c>
    </row>
    <row r="25" spans="1:1" x14ac:dyDescent="0.25">
      <c r="A25">
        <f t="shared" si="0"/>
        <v xml:space="preserve"> </v>
      </c>
    </row>
    <row r="26" spans="1:1" x14ac:dyDescent="0.25">
      <c r="A26">
        <f t="shared" si="0"/>
        <v xml:space="preserve"> </v>
      </c>
    </row>
    <row r="27" spans="1:1" x14ac:dyDescent="0.25">
      <c r="A27">
        <f t="shared" si="0"/>
        <v xml:space="preserve"> </v>
      </c>
    </row>
    <row r="28" spans="1:1" x14ac:dyDescent="0.25">
      <c r="A28">
        <f t="shared" si="0"/>
        <v xml:space="preserve"> </v>
      </c>
    </row>
    <row r="29" spans="1:1" x14ac:dyDescent="0.25">
      <c r="A29">
        <f t="shared" si="0"/>
        <v xml:space="preserve"> </v>
      </c>
    </row>
    <row r="30" spans="1:1" x14ac:dyDescent="0.25">
      <c r="A30">
        <f t="shared" si="0"/>
        <v xml:space="preserve"> </v>
      </c>
    </row>
    <row r="31" spans="1:1" x14ac:dyDescent="0.25">
      <c r="A31">
        <f t="shared" si="0"/>
        <v xml:space="preserve"> </v>
      </c>
    </row>
    <row r="32" spans="1:1" x14ac:dyDescent="0.25">
      <c r="A32">
        <f t="shared" si="0"/>
        <v xml:space="preserve"> </v>
      </c>
    </row>
    <row r="33" spans="1:1" x14ac:dyDescent="0.25">
      <c r="A33">
        <f t="shared" si="0"/>
        <v xml:space="preserve"> </v>
      </c>
    </row>
    <row r="34" spans="1:1" x14ac:dyDescent="0.25">
      <c r="A34">
        <f t="shared" si="0"/>
        <v xml:space="preserve"> </v>
      </c>
    </row>
    <row r="35" spans="1:1" x14ac:dyDescent="0.25">
      <c r="A35">
        <f t="shared" si="0"/>
        <v xml:space="preserve"> </v>
      </c>
    </row>
    <row r="36" spans="1:1" x14ac:dyDescent="0.25">
      <c r="A36">
        <f t="shared" si="0"/>
        <v xml:space="preserve"> </v>
      </c>
    </row>
    <row r="37" spans="1:1" x14ac:dyDescent="0.25">
      <c r="A37">
        <f t="shared" ref="A37:A66" si="1">CONCATENATE(C37," ",H37)</f>
        <v xml:space="preserve"> </v>
      </c>
    </row>
    <row r="38" spans="1:1" x14ac:dyDescent="0.25">
      <c r="A38">
        <f t="shared" si="1"/>
        <v xml:space="preserve"> </v>
      </c>
    </row>
    <row r="39" spans="1:1" x14ac:dyDescent="0.25">
      <c r="A39">
        <f t="shared" si="1"/>
        <v xml:space="preserve"> </v>
      </c>
    </row>
    <row r="40" spans="1:1" x14ac:dyDescent="0.25">
      <c r="A40">
        <f t="shared" si="1"/>
        <v xml:space="preserve"> </v>
      </c>
    </row>
    <row r="41" spans="1:1" x14ac:dyDescent="0.25">
      <c r="A41">
        <f t="shared" si="1"/>
        <v xml:space="preserve"> </v>
      </c>
    </row>
    <row r="42" spans="1:1" x14ac:dyDescent="0.25">
      <c r="A42">
        <f t="shared" si="1"/>
        <v xml:space="preserve"> </v>
      </c>
    </row>
    <row r="43" spans="1:1" x14ac:dyDescent="0.25">
      <c r="A43">
        <f t="shared" si="1"/>
        <v xml:space="preserve"> </v>
      </c>
    </row>
    <row r="44" spans="1:1" x14ac:dyDescent="0.25">
      <c r="A44">
        <f t="shared" si="1"/>
        <v xml:space="preserve"> </v>
      </c>
    </row>
    <row r="45" spans="1:1" x14ac:dyDescent="0.25">
      <c r="A45">
        <f t="shared" si="1"/>
        <v xml:space="preserve"> </v>
      </c>
    </row>
    <row r="46" spans="1:1" x14ac:dyDescent="0.25">
      <c r="A46">
        <f t="shared" si="1"/>
        <v xml:space="preserve"> </v>
      </c>
    </row>
    <row r="47" spans="1:1" x14ac:dyDescent="0.25">
      <c r="A47">
        <f t="shared" si="1"/>
        <v xml:space="preserve"> </v>
      </c>
    </row>
    <row r="48" spans="1:1" x14ac:dyDescent="0.25">
      <c r="A48">
        <f t="shared" si="1"/>
        <v xml:space="preserve"> </v>
      </c>
    </row>
    <row r="49" spans="1:1" x14ac:dyDescent="0.25">
      <c r="A49">
        <f t="shared" si="1"/>
        <v xml:space="preserve"> </v>
      </c>
    </row>
    <row r="50" spans="1:1" x14ac:dyDescent="0.25">
      <c r="A50">
        <f t="shared" si="1"/>
        <v xml:space="preserve"> </v>
      </c>
    </row>
    <row r="51" spans="1:1" x14ac:dyDescent="0.25">
      <c r="A51">
        <f t="shared" si="1"/>
        <v xml:space="preserve"> </v>
      </c>
    </row>
    <row r="52" spans="1:1" x14ac:dyDescent="0.25">
      <c r="A52">
        <f t="shared" si="1"/>
        <v xml:space="preserve"> </v>
      </c>
    </row>
    <row r="53" spans="1:1" x14ac:dyDescent="0.25">
      <c r="A53">
        <f t="shared" si="1"/>
        <v xml:space="preserve"> </v>
      </c>
    </row>
    <row r="54" spans="1:1" x14ac:dyDescent="0.25">
      <c r="A54">
        <f t="shared" si="1"/>
        <v xml:space="preserve"> </v>
      </c>
    </row>
    <row r="55" spans="1:1" x14ac:dyDescent="0.25">
      <c r="A55">
        <f t="shared" si="1"/>
        <v xml:space="preserve"> </v>
      </c>
    </row>
    <row r="56" spans="1:1" x14ac:dyDescent="0.25">
      <c r="A56">
        <f t="shared" si="1"/>
        <v xml:space="preserve"> </v>
      </c>
    </row>
    <row r="57" spans="1:1" x14ac:dyDescent="0.25">
      <c r="A57">
        <f t="shared" si="1"/>
        <v xml:space="preserve"> </v>
      </c>
    </row>
    <row r="58" spans="1:1" x14ac:dyDescent="0.25">
      <c r="A58">
        <f t="shared" si="1"/>
        <v xml:space="preserve"> </v>
      </c>
    </row>
    <row r="59" spans="1:1" x14ac:dyDescent="0.25">
      <c r="A59">
        <f t="shared" si="1"/>
        <v xml:space="preserve"> </v>
      </c>
    </row>
    <row r="60" spans="1:1" x14ac:dyDescent="0.25">
      <c r="A60">
        <f t="shared" si="1"/>
        <v xml:space="preserve"> </v>
      </c>
    </row>
    <row r="61" spans="1:1" x14ac:dyDescent="0.25">
      <c r="A61">
        <f t="shared" si="1"/>
        <v xml:space="preserve"> </v>
      </c>
    </row>
    <row r="62" spans="1:1" x14ac:dyDescent="0.25">
      <c r="A62">
        <f t="shared" si="1"/>
        <v xml:space="preserve"> </v>
      </c>
    </row>
    <row r="63" spans="1:1" x14ac:dyDescent="0.25">
      <c r="A63">
        <f t="shared" si="1"/>
        <v xml:space="preserve"> </v>
      </c>
    </row>
    <row r="64" spans="1:1" x14ac:dyDescent="0.25">
      <c r="A64">
        <f t="shared" si="1"/>
        <v xml:space="preserve"> </v>
      </c>
    </row>
    <row r="65" spans="1:1" x14ac:dyDescent="0.25">
      <c r="A65">
        <f t="shared" si="1"/>
        <v xml:space="preserve"> </v>
      </c>
    </row>
    <row r="66" spans="1:1" x14ac:dyDescent="0.25">
      <c r="A66">
        <f t="shared" si="1"/>
        <v xml:space="preserve"> </v>
      </c>
    </row>
    <row r="67" spans="1:1" x14ac:dyDescent="0.25">
      <c r="A67">
        <f t="shared" ref="A67:A130" si="2">CONCATENATE(C67," ",H67)</f>
        <v xml:space="preserve"> </v>
      </c>
    </row>
    <row r="68" spans="1:1" x14ac:dyDescent="0.25">
      <c r="A68">
        <f t="shared" si="2"/>
        <v xml:space="preserve"> </v>
      </c>
    </row>
    <row r="69" spans="1:1" x14ac:dyDescent="0.25">
      <c r="A69">
        <f t="shared" si="2"/>
        <v xml:space="preserve"> </v>
      </c>
    </row>
    <row r="70" spans="1:1" x14ac:dyDescent="0.25">
      <c r="A70">
        <f t="shared" si="2"/>
        <v xml:space="preserve"> </v>
      </c>
    </row>
    <row r="71" spans="1:1" x14ac:dyDescent="0.25">
      <c r="A71">
        <f t="shared" si="2"/>
        <v xml:space="preserve"> </v>
      </c>
    </row>
    <row r="72" spans="1:1" x14ac:dyDescent="0.25">
      <c r="A72">
        <f t="shared" si="2"/>
        <v xml:space="preserve"> </v>
      </c>
    </row>
    <row r="73" spans="1:1" x14ac:dyDescent="0.25">
      <c r="A73">
        <f t="shared" si="2"/>
        <v xml:space="preserve"> </v>
      </c>
    </row>
    <row r="74" spans="1:1" x14ac:dyDescent="0.25">
      <c r="A74">
        <f t="shared" si="2"/>
        <v xml:space="preserve"> </v>
      </c>
    </row>
    <row r="75" spans="1:1" x14ac:dyDescent="0.25">
      <c r="A75">
        <f t="shared" si="2"/>
        <v xml:space="preserve"> </v>
      </c>
    </row>
    <row r="76" spans="1:1" x14ac:dyDescent="0.25">
      <c r="A76">
        <f t="shared" si="2"/>
        <v xml:space="preserve"> </v>
      </c>
    </row>
    <row r="77" spans="1:1" x14ac:dyDescent="0.25">
      <c r="A77">
        <f t="shared" si="2"/>
        <v xml:space="preserve"> </v>
      </c>
    </row>
    <row r="78" spans="1:1" x14ac:dyDescent="0.25">
      <c r="A78">
        <f t="shared" si="2"/>
        <v xml:space="preserve"> </v>
      </c>
    </row>
    <row r="79" spans="1:1" x14ac:dyDescent="0.25">
      <c r="A79">
        <f t="shared" si="2"/>
        <v xml:space="preserve"> </v>
      </c>
    </row>
    <row r="80" spans="1:1" x14ac:dyDescent="0.25">
      <c r="A80">
        <f t="shared" si="2"/>
        <v xml:space="preserve"> </v>
      </c>
    </row>
    <row r="81" spans="1:1" x14ac:dyDescent="0.25">
      <c r="A81">
        <f t="shared" si="2"/>
        <v xml:space="preserve"> </v>
      </c>
    </row>
    <row r="82" spans="1:1" x14ac:dyDescent="0.25">
      <c r="A82">
        <f t="shared" si="2"/>
        <v xml:space="preserve"> </v>
      </c>
    </row>
    <row r="83" spans="1:1" x14ac:dyDescent="0.25">
      <c r="A83">
        <f t="shared" si="2"/>
        <v xml:space="preserve"> </v>
      </c>
    </row>
    <row r="84" spans="1:1" x14ac:dyDescent="0.25">
      <c r="A84">
        <f t="shared" si="2"/>
        <v xml:space="preserve"> </v>
      </c>
    </row>
    <row r="85" spans="1:1" x14ac:dyDescent="0.25">
      <c r="A85">
        <f t="shared" si="2"/>
        <v xml:space="preserve"> </v>
      </c>
    </row>
    <row r="86" spans="1:1" x14ac:dyDescent="0.25">
      <c r="A86">
        <f t="shared" si="2"/>
        <v xml:space="preserve"> </v>
      </c>
    </row>
    <row r="87" spans="1:1" x14ac:dyDescent="0.25">
      <c r="A87">
        <f t="shared" si="2"/>
        <v xml:space="preserve"> </v>
      </c>
    </row>
    <row r="88" spans="1:1" x14ac:dyDescent="0.25">
      <c r="A88">
        <f t="shared" si="2"/>
        <v xml:space="preserve"> </v>
      </c>
    </row>
    <row r="89" spans="1:1" x14ac:dyDescent="0.25">
      <c r="A89">
        <f t="shared" si="2"/>
        <v xml:space="preserve"> </v>
      </c>
    </row>
    <row r="90" spans="1:1" x14ac:dyDescent="0.25">
      <c r="A90">
        <f t="shared" si="2"/>
        <v xml:space="preserve"> </v>
      </c>
    </row>
    <row r="91" spans="1:1" x14ac:dyDescent="0.25">
      <c r="A91">
        <f t="shared" si="2"/>
        <v xml:space="preserve"> </v>
      </c>
    </row>
    <row r="92" spans="1:1" x14ac:dyDescent="0.25">
      <c r="A92">
        <f t="shared" si="2"/>
        <v xml:space="preserve"> </v>
      </c>
    </row>
    <row r="93" spans="1:1" x14ac:dyDescent="0.25">
      <c r="A93">
        <f t="shared" si="2"/>
        <v xml:space="preserve"> </v>
      </c>
    </row>
    <row r="94" spans="1:1" x14ac:dyDescent="0.25">
      <c r="A94">
        <f t="shared" si="2"/>
        <v xml:space="preserve"> </v>
      </c>
    </row>
    <row r="95" spans="1:1" x14ac:dyDescent="0.25">
      <c r="A95">
        <f t="shared" si="2"/>
        <v xml:space="preserve"> </v>
      </c>
    </row>
    <row r="96" spans="1:1" x14ac:dyDescent="0.25">
      <c r="A96">
        <f t="shared" si="2"/>
        <v xml:space="preserve"> </v>
      </c>
    </row>
    <row r="97" spans="1:1" x14ac:dyDescent="0.25">
      <c r="A97">
        <f t="shared" si="2"/>
        <v xml:space="preserve"> </v>
      </c>
    </row>
    <row r="98" spans="1:1" x14ac:dyDescent="0.25">
      <c r="A98">
        <f t="shared" si="2"/>
        <v xml:space="preserve"> </v>
      </c>
    </row>
    <row r="99" spans="1:1" x14ac:dyDescent="0.25">
      <c r="A99">
        <f t="shared" si="2"/>
        <v xml:space="preserve"> </v>
      </c>
    </row>
    <row r="100" spans="1:1" x14ac:dyDescent="0.25">
      <c r="A100">
        <f t="shared" si="2"/>
        <v xml:space="preserve"> </v>
      </c>
    </row>
    <row r="101" spans="1:1" x14ac:dyDescent="0.25">
      <c r="A101">
        <f t="shared" si="2"/>
        <v xml:space="preserve"> </v>
      </c>
    </row>
    <row r="102" spans="1:1" x14ac:dyDescent="0.25">
      <c r="A102">
        <f t="shared" si="2"/>
        <v xml:space="preserve"> </v>
      </c>
    </row>
    <row r="103" spans="1:1" x14ac:dyDescent="0.25">
      <c r="A103">
        <f t="shared" si="2"/>
        <v xml:space="preserve"> </v>
      </c>
    </row>
    <row r="104" spans="1:1" x14ac:dyDescent="0.25">
      <c r="A104">
        <f t="shared" si="2"/>
        <v xml:space="preserve"> </v>
      </c>
    </row>
    <row r="105" spans="1:1" x14ac:dyDescent="0.25">
      <c r="A105">
        <f t="shared" si="2"/>
        <v xml:space="preserve"> </v>
      </c>
    </row>
    <row r="106" spans="1:1" x14ac:dyDescent="0.25">
      <c r="A106">
        <f t="shared" si="2"/>
        <v xml:space="preserve"> </v>
      </c>
    </row>
    <row r="107" spans="1:1" x14ac:dyDescent="0.25">
      <c r="A107">
        <f t="shared" si="2"/>
        <v xml:space="preserve"> </v>
      </c>
    </row>
    <row r="108" spans="1:1" x14ac:dyDescent="0.25">
      <c r="A108">
        <f t="shared" si="2"/>
        <v xml:space="preserve"> </v>
      </c>
    </row>
    <row r="109" spans="1:1" x14ac:dyDescent="0.25">
      <c r="A109">
        <f t="shared" si="2"/>
        <v xml:space="preserve"> </v>
      </c>
    </row>
    <row r="110" spans="1:1" x14ac:dyDescent="0.25">
      <c r="A110">
        <f t="shared" si="2"/>
        <v xml:space="preserve"> </v>
      </c>
    </row>
    <row r="111" spans="1:1" x14ac:dyDescent="0.25">
      <c r="A111">
        <f t="shared" si="2"/>
        <v xml:space="preserve"> </v>
      </c>
    </row>
    <row r="112" spans="1:1" x14ac:dyDescent="0.25">
      <c r="A112">
        <f t="shared" si="2"/>
        <v xml:space="preserve"> </v>
      </c>
    </row>
    <row r="113" spans="1:1" x14ac:dyDescent="0.25">
      <c r="A113">
        <f t="shared" si="2"/>
        <v xml:space="preserve"> </v>
      </c>
    </row>
    <row r="114" spans="1:1" x14ac:dyDescent="0.25">
      <c r="A114">
        <f t="shared" si="2"/>
        <v xml:space="preserve"> </v>
      </c>
    </row>
    <row r="115" spans="1:1" x14ac:dyDescent="0.25">
      <c r="A115">
        <f t="shared" si="2"/>
        <v xml:space="preserve"> </v>
      </c>
    </row>
    <row r="116" spans="1:1" x14ac:dyDescent="0.25">
      <c r="A116">
        <f t="shared" si="2"/>
        <v xml:space="preserve"> </v>
      </c>
    </row>
    <row r="117" spans="1:1" x14ac:dyDescent="0.25">
      <c r="A117">
        <f t="shared" si="2"/>
        <v xml:space="preserve"> </v>
      </c>
    </row>
    <row r="118" spans="1:1" x14ac:dyDescent="0.25">
      <c r="A118">
        <f t="shared" si="2"/>
        <v xml:space="preserve"> </v>
      </c>
    </row>
    <row r="119" spans="1:1" x14ac:dyDescent="0.25">
      <c r="A119">
        <f t="shared" si="2"/>
        <v xml:space="preserve"> </v>
      </c>
    </row>
    <row r="120" spans="1:1" x14ac:dyDescent="0.25">
      <c r="A120">
        <f t="shared" si="2"/>
        <v xml:space="preserve"> </v>
      </c>
    </row>
    <row r="121" spans="1:1" x14ac:dyDescent="0.25">
      <c r="A121">
        <f t="shared" si="2"/>
        <v xml:space="preserve"> </v>
      </c>
    </row>
    <row r="122" spans="1:1" x14ac:dyDescent="0.25">
      <c r="A122">
        <f t="shared" si="2"/>
        <v xml:space="preserve"> </v>
      </c>
    </row>
    <row r="123" spans="1:1" x14ac:dyDescent="0.25">
      <c r="A123">
        <f t="shared" si="2"/>
        <v xml:space="preserve"> </v>
      </c>
    </row>
    <row r="124" spans="1:1" x14ac:dyDescent="0.25">
      <c r="A124">
        <f t="shared" si="2"/>
        <v xml:space="preserve"> </v>
      </c>
    </row>
    <row r="125" spans="1:1" x14ac:dyDescent="0.25">
      <c r="A125">
        <f t="shared" si="2"/>
        <v xml:space="preserve"> </v>
      </c>
    </row>
    <row r="126" spans="1:1" x14ac:dyDescent="0.25">
      <c r="A126">
        <f t="shared" si="2"/>
        <v xml:space="preserve"> </v>
      </c>
    </row>
    <row r="127" spans="1:1" x14ac:dyDescent="0.25">
      <c r="A127">
        <f t="shared" si="2"/>
        <v xml:space="preserve"> </v>
      </c>
    </row>
    <row r="128" spans="1:1" x14ac:dyDescent="0.25">
      <c r="A128">
        <f t="shared" si="2"/>
        <v xml:space="preserve"> </v>
      </c>
    </row>
    <row r="129" spans="1:1" x14ac:dyDescent="0.25">
      <c r="A129">
        <f t="shared" si="2"/>
        <v xml:space="preserve"> </v>
      </c>
    </row>
    <row r="130" spans="1:1" x14ac:dyDescent="0.25">
      <c r="A130">
        <f t="shared" si="2"/>
        <v xml:space="preserve"> </v>
      </c>
    </row>
    <row r="131" spans="1:1" x14ac:dyDescent="0.25">
      <c r="A131">
        <f t="shared" ref="A131:A194" si="3">CONCATENATE(C131," ",H131)</f>
        <v xml:space="preserve"> </v>
      </c>
    </row>
    <row r="132" spans="1:1" x14ac:dyDescent="0.25">
      <c r="A132">
        <f t="shared" si="3"/>
        <v xml:space="preserve"> </v>
      </c>
    </row>
    <row r="133" spans="1:1" x14ac:dyDescent="0.25">
      <c r="A133">
        <f t="shared" si="3"/>
        <v xml:space="preserve"> </v>
      </c>
    </row>
    <row r="134" spans="1:1" x14ac:dyDescent="0.25">
      <c r="A134">
        <f t="shared" si="3"/>
        <v xml:space="preserve"> </v>
      </c>
    </row>
    <row r="135" spans="1:1" x14ac:dyDescent="0.25">
      <c r="A135">
        <f t="shared" si="3"/>
        <v xml:space="preserve"> </v>
      </c>
    </row>
    <row r="136" spans="1:1" x14ac:dyDescent="0.25">
      <c r="A136">
        <f t="shared" si="3"/>
        <v xml:space="preserve"> </v>
      </c>
    </row>
    <row r="137" spans="1:1" x14ac:dyDescent="0.25">
      <c r="A137">
        <f t="shared" si="3"/>
        <v xml:space="preserve"> </v>
      </c>
    </row>
    <row r="138" spans="1:1" x14ac:dyDescent="0.25">
      <c r="A138">
        <f t="shared" si="3"/>
        <v xml:space="preserve"> </v>
      </c>
    </row>
    <row r="139" spans="1:1" x14ac:dyDescent="0.25">
      <c r="A139">
        <f t="shared" si="3"/>
        <v xml:space="preserve"> </v>
      </c>
    </row>
    <row r="140" spans="1:1" x14ac:dyDescent="0.25">
      <c r="A140">
        <f t="shared" si="3"/>
        <v xml:space="preserve"> </v>
      </c>
    </row>
    <row r="141" spans="1:1" x14ac:dyDescent="0.25">
      <c r="A141">
        <f t="shared" si="3"/>
        <v xml:space="preserve"> </v>
      </c>
    </row>
    <row r="142" spans="1:1" x14ac:dyDescent="0.25">
      <c r="A142">
        <f t="shared" si="3"/>
        <v xml:space="preserve"> </v>
      </c>
    </row>
    <row r="143" spans="1:1" x14ac:dyDescent="0.25">
      <c r="A143">
        <f t="shared" si="3"/>
        <v xml:space="preserve"> </v>
      </c>
    </row>
    <row r="144" spans="1:1" x14ac:dyDescent="0.25">
      <c r="A144">
        <f t="shared" si="3"/>
        <v xml:space="preserve"> </v>
      </c>
    </row>
    <row r="145" spans="1:1" x14ac:dyDescent="0.25">
      <c r="A145">
        <f t="shared" si="3"/>
        <v xml:space="preserve"> </v>
      </c>
    </row>
    <row r="146" spans="1:1" x14ac:dyDescent="0.25">
      <c r="A146">
        <f t="shared" si="3"/>
        <v xml:space="preserve"> </v>
      </c>
    </row>
    <row r="147" spans="1:1" x14ac:dyDescent="0.25">
      <c r="A147">
        <f t="shared" si="3"/>
        <v xml:space="preserve"> </v>
      </c>
    </row>
    <row r="148" spans="1:1" x14ac:dyDescent="0.25">
      <c r="A148">
        <f t="shared" si="3"/>
        <v xml:space="preserve"> </v>
      </c>
    </row>
    <row r="149" spans="1:1" x14ac:dyDescent="0.25">
      <c r="A149">
        <f t="shared" si="3"/>
        <v xml:space="preserve"> </v>
      </c>
    </row>
    <row r="150" spans="1:1" x14ac:dyDescent="0.25">
      <c r="A150">
        <f t="shared" si="3"/>
        <v xml:space="preserve"> </v>
      </c>
    </row>
    <row r="151" spans="1:1" x14ac:dyDescent="0.25">
      <c r="A151">
        <f t="shared" si="3"/>
        <v xml:space="preserve"> </v>
      </c>
    </row>
    <row r="152" spans="1:1" x14ac:dyDescent="0.25">
      <c r="A152">
        <f t="shared" si="3"/>
        <v xml:space="preserve"> </v>
      </c>
    </row>
    <row r="153" spans="1:1" x14ac:dyDescent="0.25">
      <c r="A153">
        <f t="shared" si="3"/>
        <v xml:space="preserve"> </v>
      </c>
    </row>
    <row r="154" spans="1:1" x14ac:dyDescent="0.25">
      <c r="A154">
        <f t="shared" si="3"/>
        <v xml:space="preserve"> </v>
      </c>
    </row>
    <row r="155" spans="1:1" x14ac:dyDescent="0.25">
      <c r="A155">
        <f t="shared" si="3"/>
        <v xml:space="preserve"> </v>
      </c>
    </row>
    <row r="156" spans="1:1" x14ac:dyDescent="0.25">
      <c r="A156">
        <f t="shared" si="3"/>
        <v xml:space="preserve"> </v>
      </c>
    </row>
    <row r="157" spans="1:1" x14ac:dyDescent="0.25">
      <c r="A157">
        <f t="shared" si="3"/>
        <v xml:space="preserve"> </v>
      </c>
    </row>
    <row r="158" spans="1:1" x14ac:dyDescent="0.25">
      <c r="A158">
        <f t="shared" si="3"/>
        <v xml:space="preserve"> </v>
      </c>
    </row>
    <row r="159" spans="1:1" x14ac:dyDescent="0.25">
      <c r="A159">
        <f t="shared" si="3"/>
        <v xml:space="preserve"> </v>
      </c>
    </row>
    <row r="160" spans="1:1" x14ac:dyDescent="0.25">
      <c r="A160">
        <f t="shared" si="3"/>
        <v xml:space="preserve"> </v>
      </c>
    </row>
    <row r="161" spans="1:1" x14ac:dyDescent="0.25">
      <c r="A161">
        <f t="shared" si="3"/>
        <v xml:space="preserve"> </v>
      </c>
    </row>
    <row r="162" spans="1:1" x14ac:dyDescent="0.25">
      <c r="A162">
        <f t="shared" si="3"/>
        <v xml:space="preserve"> </v>
      </c>
    </row>
    <row r="163" spans="1:1" x14ac:dyDescent="0.25">
      <c r="A163">
        <f t="shared" si="3"/>
        <v xml:space="preserve"> </v>
      </c>
    </row>
    <row r="164" spans="1:1" x14ac:dyDescent="0.25">
      <c r="A164">
        <f t="shared" si="3"/>
        <v xml:space="preserve"> </v>
      </c>
    </row>
    <row r="165" spans="1:1" x14ac:dyDescent="0.25">
      <c r="A165">
        <f t="shared" si="3"/>
        <v xml:space="preserve"> </v>
      </c>
    </row>
    <row r="166" spans="1:1" x14ac:dyDescent="0.25">
      <c r="A166">
        <f t="shared" si="3"/>
        <v xml:space="preserve"> </v>
      </c>
    </row>
    <row r="167" spans="1:1" x14ac:dyDescent="0.25">
      <c r="A167">
        <f t="shared" si="3"/>
        <v xml:space="preserve"> </v>
      </c>
    </row>
    <row r="168" spans="1:1" x14ac:dyDescent="0.25">
      <c r="A168">
        <f t="shared" si="3"/>
        <v xml:space="preserve"> </v>
      </c>
    </row>
    <row r="169" spans="1:1" x14ac:dyDescent="0.25">
      <c r="A169">
        <f t="shared" si="3"/>
        <v xml:space="preserve"> </v>
      </c>
    </row>
    <row r="170" spans="1:1" x14ac:dyDescent="0.25">
      <c r="A170">
        <f t="shared" si="3"/>
        <v xml:space="preserve"> </v>
      </c>
    </row>
    <row r="171" spans="1:1" x14ac:dyDescent="0.25">
      <c r="A171">
        <f t="shared" si="3"/>
        <v xml:space="preserve"> </v>
      </c>
    </row>
    <row r="172" spans="1:1" x14ac:dyDescent="0.25">
      <c r="A172">
        <f t="shared" si="3"/>
        <v xml:space="preserve"> </v>
      </c>
    </row>
    <row r="173" spans="1:1" x14ac:dyDescent="0.25">
      <c r="A173">
        <f t="shared" si="3"/>
        <v xml:space="preserve"> </v>
      </c>
    </row>
    <row r="174" spans="1:1" x14ac:dyDescent="0.25">
      <c r="A174">
        <f t="shared" si="3"/>
        <v xml:space="preserve"> </v>
      </c>
    </row>
    <row r="175" spans="1:1" x14ac:dyDescent="0.25">
      <c r="A175">
        <f t="shared" si="3"/>
        <v xml:space="preserve"> </v>
      </c>
    </row>
    <row r="176" spans="1:1" x14ac:dyDescent="0.25">
      <c r="A176">
        <f t="shared" si="3"/>
        <v xml:space="preserve"> </v>
      </c>
    </row>
    <row r="177" spans="1:1" x14ac:dyDescent="0.25">
      <c r="A177">
        <f t="shared" si="3"/>
        <v xml:space="preserve"> </v>
      </c>
    </row>
    <row r="178" spans="1:1" x14ac:dyDescent="0.25">
      <c r="A178">
        <f t="shared" si="3"/>
        <v xml:space="preserve"> </v>
      </c>
    </row>
    <row r="179" spans="1:1" x14ac:dyDescent="0.25">
      <c r="A179">
        <f t="shared" si="3"/>
        <v xml:space="preserve"> </v>
      </c>
    </row>
    <row r="180" spans="1:1" x14ac:dyDescent="0.25">
      <c r="A180">
        <f t="shared" si="3"/>
        <v xml:space="preserve"> </v>
      </c>
    </row>
    <row r="181" spans="1:1" x14ac:dyDescent="0.25">
      <c r="A181">
        <f t="shared" si="3"/>
        <v xml:space="preserve"> </v>
      </c>
    </row>
    <row r="182" spans="1:1" x14ac:dyDescent="0.25">
      <c r="A182">
        <f t="shared" si="3"/>
        <v xml:space="preserve"> </v>
      </c>
    </row>
    <row r="183" spans="1:1" x14ac:dyDescent="0.25">
      <c r="A183">
        <f t="shared" si="3"/>
        <v xml:space="preserve"> </v>
      </c>
    </row>
    <row r="184" spans="1:1" x14ac:dyDescent="0.25">
      <c r="A184">
        <f t="shared" si="3"/>
        <v xml:space="preserve"> </v>
      </c>
    </row>
    <row r="185" spans="1:1" x14ac:dyDescent="0.25">
      <c r="A185">
        <f t="shared" si="3"/>
        <v xml:space="preserve"> </v>
      </c>
    </row>
    <row r="186" spans="1:1" x14ac:dyDescent="0.25">
      <c r="A186">
        <f t="shared" si="3"/>
        <v xml:space="preserve"> </v>
      </c>
    </row>
    <row r="187" spans="1:1" x14ac:dyDescent="0.25">
      <c r="A187">
        <f t="shared" si="3"/>
        <v xml:space="preserve"> </v>
      </c>
    </row>
    <row r="188" spans="1:1" x14ac:dyDescent="0.25">
      <c r="A188">
        <f t="shared" si="3"/>
        <v xml:space="preserve"> </v>
      </c>
    </row>
    <row r="189" spans="1:1" x14ac:dyDescent="0.25">
      <c r="A189">
        <f t="shared" si="3"/>
        <v xml:space="preserve"> </v>
      </c>
    </row>
    <row r="190" spans="1:1" x14ac:dyDescent="0.25">
      <c r="A190">
        <f t="shared" si="3"/>
        <v xml:space="preserve"> </v>
      </c>
    </row>
    <row r="191" spans="1:1" x14ac:dyDescent="0.25">
      <c r="A191">
        <f t="shared" si="3"/>
        <v xml:space="preserve"> </v>
      </c>
    </row>
    <row r="192" spans="1:1" x14ac:dyDescent="0.25">
      <c r="A192">
        <f t="shared" si="3"/>
        <v xml:space="preserve"> </v>
      </c>
    </row>
    <row r="193" spans="1:1" x14ac:dyDescent="0.25">
      <c r="A193">
        <f t="shared" si="3"/>
        <v xml:space="preserve"> </v>
      </c>
    </row>
    <row r="194" spans="1:1" x14ac:dyDescent="0.25">
      <c r="A194">
        <f t="shared" si="3"/>
        <v xml:space="preserve"> </v>
      </c>
    </row>
    <row r="195" spans="1:1" x14ac:dyDescent="0.25">
      <c r="A195">
        <f t="shared" ref="A195:A258" si="4">CONCATENATE(C195," ",H195)</f>
        <v xml:space="preserve"> </v>
      </c>
    </row>
    <row r="196" spans="1:1" x14ac:dyDescent="0.25">
      <c r="A196">
        <f t="shared" si="4"/>
        <v xml:space="preserve"> </v>
      </c>
    </row>
    <row r="197" spans="1:1" x14ac:dyDescent="0.25">
      <c r="A197">
        <f t="shared" si="4"/>
        <v xml:space="preserve"> </v>
      </c>
    </row>
    <row r="198" spans="1:1" x14ac:dyDescent="0.25">
      <c r="A198">
        <f t="shared" si="4"/>
        <v xml:space="preserve"> </v>
      </c>
    </row>
    <row r="199" spans="1:1" x14ac:dyDescent="0.25">
      <c r="A199">
        <f t="shared" si="4"/>
        <v xml:space="preserve"> </v>
      </c>
    </row>
    <row r="200" spans="1:1" x14ac:dyDescent="0.25">
      <c r="A200">
        <f t="shared" si="4"/>
        <v xml:space="preserve"> </v>
      </c>
    </row>
    <row r="201" spans="1:1" x14ac:dyDescent="0.25">
      <c r="A201">
        <f t="shared" si="4"/>
        <v xml:space="preserve"> </v>
      </c>
    </row>
    <row r="202" spans="1:1" x14ac:dyDescent="0.25">
      <c r="A202">
        <f t="shared" si="4"/>
        <v xml:space="preserve"> </v>
      </c>
    </row>
    <row r="203" spans="1:1" x14ac:dyDescent="0.25">
      <c r="A203">
        <f t="shared" si="4"/>
        <v xml:space="preserve"> </v>
      </c>
    </row>
    <row r="204" spans="1:1" x14ac:dyDescent="0.25">
      <c r="A204">
        <f t="shared" si="4"/>
        <v xml:space="preserve"> </v>
      </c>
    </row>
    <row r="205" spans="1:1" x14ac:dyDescent="0.25">
      <c r="A205">
        <f t="shared" si="4"/>
        <v xml:space="preserve"> </v>
      </c>
    </row>
    <row r="206" spans="1:1" x14ac:dyDescent="0.25">
      <c r="A206">
        <f t="shared" si="4"/>
        <v xml:space="preserve"> </v>
      </c>
    </row>
    <row r="207" spans="1:1" x14ac:dyDescent="0.25">
      <c r="A207">
        <f t="shared" si="4"/>
        <v xml:space="preserve"> </v>
      </c>
    </row>
    <row r="208" spans="1:1" x14ac:dyDescent="0.25">
      <c r="A208">
        <f t="shared" si="4"/>
        <v xml:space="preserve"> </v>
      </c>
    </row>
    <row r="209" spans="1:1" x14ac:dyDescent="0.25">
      <c r="A209">
        <f t="shared" si="4"/>
        <v xml:space="preserve"> </v>
      </c>
    </row>
    <row r="210" spans="1:1" x14ac:dyDescent="0.25">
      <c r="A210">
        <f t="shared" si="4"/>
        <v xml:space="preserve"> </v>
      </c>
    </row>
    <row r="211" spans="1:1" x14ac:dyDescent="0.25">
      <c r="A211">
        <f t="shared" si="4"/>
        <v xml:space="preserve"> </v>
      </c>
    </row>
    <row r="212" spans="1:1" x14ac:dyDescent="0.25">
      <c r="A212">
        <f t="shared" si="4"/>
        <v xml:space="preserve"> </v>
      </c>
    </row>
    <row r="213" spans="1:1" x14ac:dyDescent="0.25">
      <c r="A213">
        <f t="shared" si="4"/>
        <v xml:space="preserve"> </v>
      </c>
    </row>
    <row r="214" spans="1:1" x14ac:dyDescent="0.25">
      <c r="A214">
        <f t="shared" si="4"/>
        <v xml:space="preserve"> </v>
      </c>
    </row>
    <row r="215" spans="1:1" x14ac:dyDescent="0.25">
      <c r="A215">
        <f t="shared" si="4"/>
        <v xml:space="preserve"> </v>
      </c>
    </row>
    <row r="216" spans="1:1" x14ac:dyDescent="0.25">
      <c r="A216">
        <f t="shared" si="4"/>
        <v xml:space="preserve"> </v>
      </c>
    </row>
    <row r="217" spans="1:1" x14ac:dyDescent="0.25">
      <c r="A217">
        <f t="shared" si="4"/>
        <v xml:space="preserve"> </v>
      </c>
    </row>
    <row r="218" spans="1:1" x14ac:dyDescent="0.25">
      <c r="A218">
        <f t="shared" si="4"/>
        <v xml:space="preserve"> </v>
      </c>
    </row>
    <row r="219" spans="1:1" x14ac:dyDescent="0.25">
      <c r="A219">
        <f t="shared" si="4"/>
        <v xml:space="preserve"> </v>
      </c>
    </row>
    <row r="220" spans="1:1" x14ac:dyDescent="0.25">
      <c r="A220">
        <f t="shared" si="4"/>
        <v xml:space="preserve"> </v>
      </c>
    </row>
    <row r="221" spans="1:1" x14ac:dyDescent="0.25">
      <c r="A221">
        <f t="shared" si="4"/>
        <v xml:space="preserve"> </v>
      </c>
    </row>
    <row r="222" spans="1:1" x14ac:dyDescent="0.25">
      <c r="A222">
        <f t="shared" si="4"/>
        <v xml:space="preserve"> </v>
      </c>
    </row>
    <row r="223" spans="1:1" x14ac:dyDescent="0.25">
      <c r="A223">
        <f t="shared" si="4"/>
        <v xml:space="preserve"> </v>
      </c>
    </row>
    <row r="224" spans="1:1" x14ac:dyDescent="0.25">
      <c r="A224">
        <f t="shared" si="4"/>
        <v xml:space="preserve"> </v>
      </c>
    </row>
    <row r="225" spans="1:1" x14ac:dyDescent="0.25">
      <c r="A225">
        <f t="shared" si="4"/>
        <v xml:space="preserve"> </v>
      </c>
    </row>
    <row r="226" spans="1:1" x14ac:dyDescent="0.25">
      <c r="A226">
        <f t="shared" si="4"/>
        <v xml:space="preserve"> </v>
      </c>
    </row>
    <row r="227" spans="1:1" x14ac:dyDescent="0.25">
      <c r="A227">
        <f t="shared" si="4"/>
        <v xml:space="preserve"> </v>
      </c>
    </row>
    <row r="228" spans="1:1" x14ac:dyDescent="0.25">
      <c r="A228">
        <f t="shared" si="4"/>
        <v xml:space="preserve"> </v>
      </c>
    </row>
    <row r="229" spans="1:1" x14ac:dyDescent="0.25">
      <c r="A229">
        <f t="shared" si="4"/>
        <v xml:space="preserve"> </v>
      </c>
    </row>
    <row r="230" spans="1:1" x14ac:dyDescent="0.25">
      <c r="A230">
        <f t="shared" si="4"/>
        <v xml:space="preserve"> </v>
      </c>
    </row>
    <row r="231" spans="1:1" x14ac:dyDescent="0.25">
      <c r="A231">
        <f t="shared" si="4"/>
        <v xml:space="preserve"> </v>
      </c>
    </row>
    <row r="232" spans="1:1" x14ac:dyDescent="0.25">
      <c r="A232">
        <f t="shared" si="4"/>
        <v xml:space="preserve"> </v>
      </c>
    </row>
    <row r="233" spans="1:1" x14ac:dyDescent="0.25">
      <c r="A233">
        <f t="shared" si="4"/>
        <v xml:space="preserve"> </v>
      </c>
    </row>
    <row r="234" spans="1:1" x14ac:dyDescent="0.25">
      <c r="A234">
        <f t="shared" si="4"/>
        <v xml:space="preserve"> </v>
      </c>
    </row>
    <row r="235" spans="1:1" x14ac:dyDescent="0.25">
      <c r="A235">
        <f t="shared" si="4"/>
        <v xml:space="preserve"> </v>
      </c>
    </row>
    <row r="236" spans="1:1" x14ac:dyDescent="0.25">
      <c r="A236">
        <f t="shared" si="4"/>
        <v xml:space="preserve"> </v>
      </c>
    </row>
    <row r="237" spans="1:1" x14ac:dyDescent="0.25">
      <c r="A237">
        <f t="shared" si="4"/>
        <v xml:space="preserve"> </v>
      </c>
    </row>
    <row r="238" spans="1:1" x14ac:dyDescent="0.25">
      <c r="A238">
        <f t="shared" si="4"/>
        <v xml:space="preserve"> </v>
      </c>
    </row>
    <row r="239" spans="1:1" x14ac:dyDescent="0.25">
      <c r="A239">
        <f t="shared" si="4"/>
        <v xml:space="preserve"> </v>
      </c>
    </row>
    <row r="240" spans="1:1" x14ac:dyDescent="0.25">
      <c r="A240">
        <f t="shared" si="4"/>
        <v xml:space="preserve"> </v>
      </c>
    </row>
    <row r="241" spans="1:1" x14ac:dyDescent="0.25">
      <c r="A241">
        <f t="shared" si="4"/>
        <v xml:space="preserve"> </v>
      </c>
    </row>
    <row r="242" spans="1:1" x14ac:dyDescent="0.25">
      <c r="A242">
        <f t="shared" si="4"/>
        <v xml:space="preserve"> </v>
      </c>
    </row>
    <row r="243" spans="1:1" x14ac:dyDescent="0.25">
      <c r="A243">
        <f t="shared" si="4"/>
        <v xml:space="preserve"> </v>
      </c>
    </row>
    <row r="244" spans="1:1" x14ac:dyDescent="0.25">
      <c r="A244">
        <f t="shared" si="4"/>
        <v xml:space="preserve"> </v>
      </c>
    </row>
    <row r="245" spans="1:1" x14ac:dyDescent="0.25">
      <c r="A245">
        <f t="shared" si="4"/>
        <v xml:space="preserve"> </v>
      </c>
    </row>
    <row r="246" spans="1:1" x14ac:dyDescent="0.25">
      <c r="A246">
        <f t="shared" si="4"/>
        <v xml:space="preserve"> </v>
      </c>
    </row>
    <row r="247" spans="1:1" x14ac:dyDescent="0.25">
      <c r="A247">
        <f t="shared" si="4"/>
        <v xml:space="preserve"> </v>
      </c>
    </row>
    <row r="248" spans="1:1" x14ac:dyDescent="0.25">
      <c r="A248">
        <f t="shared" si="4"/>
        <v xml:space="preserve"> </v>
      </c>
    </row>
    <row r="249" spans="1:1" x14ac:dyDescent="0.25">
      <c r="A249">
        <f t="shared" si="4"/>
        <v xml:space="preserve"> </v>
      </c>
    </row>
    <row r="250" spans="1:1" x14ac:dyDescent="0.25">
      <c r="A250">
        <f t="shared" si="4"/>
        <v xml:space="preserve"> </v>
      </c>
    </row>
    <row r="251" spans="1:1" x14ac:dyDescent="0.25">
      <c r="A251">
        <f t="shared" si="4"/>
        <v xml:space="preserve"> </v>
      </c>
    </row>
    <row r="252" spans="1:1" x14ac:dyDescent="0.25">
      <c r="A252">
        <f t="shared" si="4"/>
        <v xml:space="preserve"> </v>
      </c>
    </row>
    <row r="253" spans="1:1" x14ac:dyDescent="0.25">
      <c r="A253">
        <f t="shared" si="4"/>
        <v xml:space="preserve"> </v>
      </c>
    </row>
    <row r="254" spans="1:1" x14ac:dyDescent="0.25">
      <c r="A254">
        <f t="shared" si="4"/>
        <v xml:space="preserve"> </v>
      </c>
    </row>
    <row r="255" spans="1:1" x14ac:dyDescent="0.25">
      <c r="A255">
        <f t="shared" si="4"/>
        <v xml:space="preserve"> </v>
      </c>
    </row>
    <row r="256" spans="1:1" x14ac:dyDescent="0.25">
      <c r="A256">
        <f t="shared" si="4"/>
        <v xml:space="preserve"> </v>
      </c>
    </row>
    <row r="257" spans="1:1" x14ac:dyDescent="0.25">
      <c r="A257">
        <f t="shared" si="4"/>
        <v xml:space="preserve"> </v>
      </c>
    </row>
    <row r="258" spans="1:1" x14ac:dyDescent="0.25">
      <c r="A258">
        <f t="shared" si="4"/>
        <v xml:space="preserve"> </v>
      </c>
    </row>
    <row r="259" spans="1:1" x14ac:dyDescent="0.25">
      <c r="A259">
        <f t="shared" ref="A259:A322" si="5">CONCATENATE(C259," ",H259)</f>
        <v xml:space="preserve"> </v>
      </c>
    </row>
    <row r="260" spans="1:1" x14ac:dyDescent="0.25">
      <c r="A260">
        <f t="shared" si="5"/>
        <v xml:space="preserve"> </v>
      </c>
    </row>
    <row r="261" spans="1:1" x14ac:dyDescent="0.25">
      <c r="A261">
        <f t="shared" si="5"/>
        <v xml:space="preserve"> </v>
      </c>
    </row>
    <row r="262" spans="1:1" x14ac:dyDescent="0.25">
      <c r="A262">
        <f t="shared" si="5"/>
        <v xml:space="preserve"> </v>
      </c>
    </row>
    <row r="263" spans="1:1" x14ac:dyDescent="0.25">
      <c r="A263">
        <f t="shared" si="5"/>
        <v xml:space="preserve"> </v>
      </c>
    </row>
    <row r="264" spans="1:1" x14ac:dyDescent="0.25">
      <c r="A264">
        <f t="shared" si="5"/>
        <v xml:space="preserve"> </v>
      </c>
    </row>
    <row r="265" spans="1:1" x14ac:dyDescent="0.25">
      <c r="A265">
        <f t="shared" si="5"/>
        <v xml:space="preserve"> </v>
      </c>
    </row>
    <row r="266" spans="1:1" x14ac:dyDescent="0.25">
      <c r="A266">
        <f t="shared" si="5"/>
        <v xml:space="preserve"> </v>
      </c>
    </row>
    <row r="267" spans="1:1" x14ac:dyDescent="0.25">
      <c r="A267">
        <f t="shared" si="5"/>
        <v xml:space="preserve"> </v>
      </c>
    </row>
    <row r="268" spans="1:1" x14ac:dyDescent="0.25">
      <c r="A268">
        <f t="shared" si="5"/>
        <v xml:space="preserve"> </v>
      </c>
    </row>
    <row r="269" spans="1:1" x14ac:dyDescent="0.25">
      <c r="A269">
        <f t="shared" si="5"/>
        <v xml:space="preserve"> </v>
      </c>
    </row>
    <row r="270" spans="1:1" x14ac:dyDescent="0.25">
      <c r="A270">
        <f t="shared" si="5"/>
        <v xml:space="preserve"> </v>
      </c>
    </row>
    <row r="271" spans="1:1" x14ac:dyDescent="0.25">
      <c r="A271">
        <f t="shared" si="5"/>
        <v xml:space="preserve"> </v>
      </c>
    </row>
    <row r="272" spans="1:1" x14ac:dyDescent="0.25">
      <c r="A272">
        <f t="shared" si="5"/>
        <v xml:space="preserve"> </v>
      </c>
    </row>
    <row r="273" spans="1:1" x14ac:dyDescent="0.25">
      <c r="A273">
        <f t="shared" si="5"/>
        <v xml:space="preserve"> </v>
      </c>
    </row>
    <row r="274" spans="1:1" x14ac:dyDescent="0.25">
      <c r="A274">
        <f t="shared" si="5"/>
        <v xml:space="preserve"> </v>
      </c>
    </row>
    <row r="275" spans="1:1" x14ac:dyDescent="0.25">
      <c r="A275">
        <f t="shared" si="5"/>
        <v xml:space="preserve"> </v>
      </c>
    </row>
    <row r="276" spans="1:1" x14ac:dyDescent="0.25">
      <c r="A276">
        <f t="shared" si="5"/>
        <v xml:space="preserve"> </v>
      </c>
    </row>
    <row r="277" spans="1:1" x14ac:dyDescent="0.25">
      <c r="A277">
        <f t="shared" si="5"/>
        <v xml:space="preserve"> </v>
      </c>
    </row>
    <row r="278" spans="1:1" x14ac:dyDescent="0.25">
      <c r="A278">
        <f t="shared" si="5"/>
        <v xml:space="preserve"> </v>
      </c>
    </row>
    <row r="279" spans="1:1" x14ac:dyDescent="0.25">
      <c r="A279">
        <f t="shared" si="5"/>
        <v xml:space="preserve"> </v>
      </c>
    </row>
    <row r="280" spans="1:1" x14ac:dyDescent="0.25">
      <c r="A280">
        <f t="shared" si="5"/>
        <v xml:space="preserve"> </v>
      </c>
    </row>
    <row r="281" spans="1:1" x14ac:dyDescent="0.25">
      <c r="A281">
        <f t="shared" si="5"/>
        <v xml:space="preserve"> </v>
      </c>
    </row>
    <row r="282" spans="1:1" x14ac:dyDescent="0.25">
      <c r="A282">
        <f t="shared" si="5"/>
        <v xml:space="preserve"> </v>
      </c>
    </row>
    <row r="283" spans="1:1" x14ac:dyDescent="0.25">
      <c r="A283">
        <f t="shared" si="5"/>
        <v xml:space="preserve"> </v>
      </c>
    </row>
    <row r="284" spans="1:1" x14ac:dyDescent="0.25">
      <c r="A284">
        <f t="shared" si="5"/>
        <v xml:space="preserve"> </v>
      </c>
    </row>
    <row r="285" spans="1:1" x14ac:dyDescent="0.25">
      <c r="A285">
        <f t="shared" si="5"/>
        <v xml:space="preserve"> </v>
      </c>
    </row>
    <row r="286" spans="1:1" x14ac:dyDescent="0.25">
      <c r="A286">
        <f t="shared" si="5"/>
        <v xml:space="preserve"> </v>
      </c>
    </row>
    <row r="287" spans="1:1" x14ac:dyDescent="0.25">
      <c r="A287">
        <f t="shared" si="5"/>
        <v xml:space="preserve"> </v>
      </c>
    </row>
    <row r="288" spans="1:1" x14ac:dyDescent="0.25">
      <c r="A288">
        <f t="shared" si="5"/>
        <v xml:space="preserve"> </v>
      </c>
    </row>
    <row r="289" spans="1:1" x14ac:dyDescent="0.25">
      <c r="A289">
        <f t="shared" si="5"/>
        <v xml:space="preserve"> </v>
      </c>
    </row>
    <row r="290" spans="1:1" x14ac:dyDescent="0.25">
      <c r="A290">
        <f t="shared" si="5"/>
        <v xml:space="preserve"> </v>
      </c>
    </row>
    <row r="291" spans="1:1" x14ac:dyDescent="0.25">
      <c r="A291">
        <f t="shared" si="5"/>
        <v xml:space="preserve"> </v>
      </c>
    </row>
    <row r="292" spans="1:1" x14ac:dyDescent="0.25">
      <c r="A292">
        <f t="shared" si="5"/>
        <v xml:space="preserve"> </v>
      </c>
    </row>
    <row r="293" spans="1:1" x14ac:dyDescent="0.25">
      <c r="A293">
        <f t="shared" si="5"/>
        <v xml:space="preserve"> </v>
      </c>
    </row>
    <row r="294" spans="1:1" x14ac:dyDescent="0.25">
      <c r="A294">
        <f t="shared" si="5"/>
        <v xml:space="preserve"> </v>
      </c>
    </row>
    <row r="295" spans="1:1" x14ac:dyDescent="0.25">
      <c r="A295">
        <f t="shared" si="5"/>
        <v xml:space="preserve"> </v>
      </c>
    </row>
    <row r="296" spans="1:1" x14ac:dyDescent="0.25">
      <c r="A296">
        <f t="shared" si="5"/>
        <v xml:space="preserve"> </v>
      </c>
    </row>
    <row r="297" spans="1:1" x14ac:dyDescent="0.25">
      <c r="A297">
        <f t="shared" si="5"/>
        <v xml:space="preserve"> </v>
      </c>
    </row>
    <row r="298" spans="1:1" x14ac:dyDescent="0.25">
      <c r="A298">
        <f t="shared" si="5"/>
        <v xml:space="preserve"> </v>
      </c>
    </row>
    <row r="299" spans="1:1" x14ac:dyDescent="0.25">
      <c r="A299">
        <f t="shared" si="5"/>
        <v xml:space="preserve"> </v>
      </c>
    </row>
    <row r="300" spans="1:1" x14ac:dyDescent="0.25">
      <c r="A300">
        <f t="shared" si="5"/>
        <v xml:space="preserve"> </v>
      </c>
    </row>
    <row r="301" spans="1:1" x14ac:dyDescent="0.25">
      <c r="A301">
        <f t="shared" si="5"/>
        <v xml:space="preserve"> </v>
      </c>
    </row>
    <row r="302" spans="1:1" x14ac:dyDescent="0.25">
      <c r="A302">
        <f t="shared" si="5"/>
        <v xml:space="preserve"> </v>
      </c>
    </row>
    <row r="303" spans="1:1" x14ac:dyDescent="0.25">
      <c r="A303">
        <f t="shared" si="5"/>
        <v xml:space="preserve"> </v>
      </c>
    </row>
    <row r="304" spans="1:1" x14ac:dyDescent="0.25">
      <c r="A304">
        <f t="shared" si="5"/>
        <v xml:space="preserve"> </v>
      </c>
    </row>
    <row r="305" spans="1:1" x14ac:dyDescent="0.25">
      <c r="A305">
        <f t="shared" si="5"/>
        <v xml:space="preserve"> </v>
      </c>
    </row>
    <row r="306" spans="1:1" x14ac:dyDescent="0.25">
      <c r="A306">
        <f t="shared" si="5"/>
        <v xml:space="preserve"> </v>
      </c>
    </row>
    <row r="307" spans="1:1" x14ac:dyDescent="0.25">
      <c r="A307">
        <f t="shared" si="5"/>
        <v xml:space="preserve"> </v>
      </c>
    </row>
    <row r="308" spans="1:1" x14ac:dyDescent="0.25">
      <c r="A308">
        <f t="shared" si="5"/>
        <v xml:space="preserve"> </v>
      </c>
    </row>
    <row r="309" spans="1:1" x14ac:dyDescent="0.25">
      <c r="A309">
        <f t="shared" si="5"/>
        <v xml:space="preserve"> </v>
      </c>
    </row>
    <row r="310" spans="1:1" x14ac:dyDescent="0.25">
      <c r="A310">
        <f t="shared" si="5"/>
        <v xml:space="preserve"> </v>
      </c>
    </row>
    <row r="311" spans="1:1" x14ac:dyDescent="0.25">
      <c r="A311">
        <f t="shared" si="5"/>
        <v xml:space="preserve"> </v>
      </c>
    </row>
    <row r="312" spans="1:1" x14ac:dyDescent="0.25">
      <c r="A312">
        <f t="shared" si="5"/>
        <v xml:space="preserve"> </v>
      </c>
    </row>
    <row r="313" spans="1:1" x14ac:dyDescent="0.25">
      <c r="A313">
        <f t="shared" si="5"/>
        <v xml:space="preserve"> </v>
      </c>
    </row>
    <row r="314" spans="1:1" x14ac:dyDescent="0.25">
      <c r="A314">
        <f t="shared" si="5"/>
        <v xml:space="preserve"> </v>
      </c>
    </row>
    <row r="315" spans="1:1" x14ac:dyDescent="0.25">
      <c r="A315">
        <f t="shared" si="5"/>
        <v xml:space="preserve"> </v>
      </c>
    </row>
    <row r="316" spans="1:1" x14ac:dyDescent="0.25">
      <c r="A316">
        <f t="shared" si="5"/>
        <v xml:space="preserve"> </v>
      </c>
    </row>
    <row r="317" spans="1:1" x14ac:dyDescent="0.25">
      <c r="A317">
        <f t="shared" si="5"/>
        <v xml:space="preserve"> </v>
      </c>
    </row>
    <row r="318" spans="1:1" x14ac:dyDescent="0.25">
      <c r="A318">
        <f t="shared" si="5"/>
        <v xml:space="preserve"> </v>
      </c>
    </row>
    <row r="319" spans="1:1" x14ac:dyDescent="0.25">
      <c r="A319">
        <f t="shared" si="5"/>
        <v xml:space="preserve"> </v>
      </c>
    </row>
    <row r="320" spans="1:1" x14ac:dyDescent="0.25">
      <c r="A320">
        <f t="shared" si="5"/>
        <v xml:space="preserve"> </v>
      </c>
    </row>
    <row r="321" spans="1:1" x14ac:dyDescent="0.25">
      <c r="A321">
        <f t="shared" si="5"/>
        <v xml:space="preserve"> </v>
      </c>
    </row>
    <row r="322" spans="1:1" x14ac:dyDescent="0.25">
      <c r="A322">
        <f t="shared" si="5"/>
        <v xml:space="preserve"> </v>
      </c>
    </row>
    <row r="323" spans="1:1" x14ac:dyDescent="0.25">
      <c r="A323">
        <f t="shared" ref="A323:A386" si="6">CONCATENATE(C323," ",H323)</f>
        <v xml:space="preserve"> </v>
      </c>
    </row>
    <row r="324" spans="1:1" x14ac:dyDescent="0.25">
      <c r="A324">
        <f t="shared" si="6"/>
        <v xml:space="preserve"> </v>
      </c>
    </row>
    <row r="325" spans="1:1" x14ac:dyDescent="0.25">
      <c r="A325">
        <f t="shared" si="6"/>
        <v xml:space="preserve"> </v>
      </c>
    </row>
    <row r="326" spans="1:1" x14ac:dyDescent="0.25">
      <c r="A326">
        <f t="shared" si="6"/>
        <v xml:space="preserve"> </v>
      </c>
    </row>
    <row r="327" spans="1:1" x14ac:dyDescent="0.25">
      <c r="A327">
        <f t="shared" si="6"/>
        <v xml:space="preserve"> </v>
      </c>
    </row>
    <row r="328" spans="1:1" x14ac:dyDescent="0.25">
      <c r="A328">
        <f t="shared" si="6"/>
        <v xml:space="preserve"> </v>
      </c>
    </row>
    <row r="329" spans="1:1" x14ac:dyDescent="0.25">
      <c r="A329">
        <f t="shared" si="6"/>
        <v xml:space="preserve"> </v>
      </c>
    </row>
    <row r="330" spans="1:1" x14ac:dyDescent="0.25">
      <c r="A330">
        <f t="shared" si="6"/>
        <v xml:space="preserve"> </v>
      </c>
    </row>
    <row r="331" spans="1:1" x14ac:dyDescent="0.25">
      <c r="A331">
        <f t="shared" si="6"/>
        <v xml:space="preserve"> </v>
      </c>
    </row>
    <row r="332" spans="1:1" x14ac:dyDescent="0.25">
      <c r="A332">
        <f t="shared" si="6"/>
        <v xml:space="preserve"> </v>
      </c>
    </row>
    <row r="333" spans="1:1" x14ac:dyDescent="0.25">
      <c r="A333">
        <f t="shared" si="6"/>
        <v xml:space="preserve"> </v>
      </c>
    </row>
    <row r="334" spans="1:1" x14ac:dyDescent="0.25">
      <c r="A334">
        <f t="shared" si="6"/>
        <v xml:space="preserve"> </v>
      </c>
    </row>
    <row r="335" spans="1:1" x14ac:dyDescent="0.25">
      <c r="A335">
        <f t="shared" si="6"/>
        <v xml:space="preserve"> </v>
      </c>
    </row>
    <row r="336" spans="1:1" x14ac:dyDescent="0.25">
      <c r="A336">
        <f t="shared" si="6"/>
        <v xml:space="preserve"> </v>
      </c>
    </row>
    <row r="337" spans="1:1" x14ac:dyDescent="0.25">
      <c r="A337">
        <f t="shared" si="6"/>
        <v xml:space="preserve"> </v>
      </c>
    </row>
    <row r="338" spans="1:1" x14ac:dyDescent="0.25">
      <c r="A338">
        <f t="shared" si="6"/>
        <v xml:space="preserve"> </v>
      </c>
    </row>
    <row r="339" spans="1:1" x14ac:dyDescent="0.25">
      <c r="A339">
        <f t="shared" si="6"/>
        <v xml:space="preserve"> </v>
      </c>
    </row>
    <row r="340" spans="1:1" x14ac:dyDescent="0.25">
      <c r="A340">
        <f t="shared" si="6"/>
        <v xml:space="preserve"> </v>
      </c>
    </row>
    <row r="341" spans="1:1" x14ac:dyDescent="0.25">
      <c r="A341">
        <f t="shared" si="6"/>
        <v xml:space="preserve"> </v>
      </c>
    </row>
    <row r="342" spans="1:1" x14ac:dyDescent="0.25">
      <c r="A342">
        <f t="shared" si="6"/>
        <v xml:space="preserve"> </v>
      </c>
    </row>
    <row r="343" spans="1:1" x14ac:dyDescent="0.25">
      <c r="A343">
        <f t="shared" si="6"/>
        <v xml:space="preserve"> </v>
      </c>
    </row>
    <row r="344" spans="1:1" x14ac:dyDescent="0.25">
      <c r="A344">
        <f t="shared" si="6"/>
        <v xml:space="preserve"> </v>
      </c>
    </row>
    <row r="345" spans="1:1" x14ac:dyDescent="0.25">
      <c r="A345">
        <f t="shared" si="6"/>
        <v xml:space="preserve"> </v>
      </c>
    </row>
    <row r="346" spans="1:1" x14ac:dyDescent="0.25">
      <c r="A346">
        <f t="shared" si="6"/>
        <v xml:space="preserve"> </v>
      </c>
    </row>
    <row r="347" spans="1:1" x14ac:dyDescent="0.25">
      <c r="A347">
        <f t="shared" si="6"/>
        <v xml:space="preserve"> </v>
      </c>
    </row>
    <row r="348" spans="1:1" x14ac:dyDescent="0.25">
      <c r="A348">
        <f t="shared" si="6"/>
        <v xml:space="preserve"> </v>
      </c>
    </row>
    <row r="349" spans="1:1" x14ac:dyDescent="0.25">
      <c r="A349">
        <f t="shared" si="6"/>
        <v xml:space="preserve"> </v>
      </c>
    </row>
    <row r="350" spans="1:1" x14ac:dyDescent="0.25">
      <c r="A350">
        <f t="shared" si="6"/>
        <v xml:space="preserve"> </v>
      </c>
    </row>
    <row r="351" spans="1:1" x14ac:dyDescent="0.25">
      <c r="A351">
        <f t="shared" si="6"/>
        <v xml:space="preserve"> </v>
      </c>
    </row>
    <row r="352" spans="1:1" x14ac:dyDescent="0.25">
      <c r="A352">
        <f t="shared" si="6"/>
        <v xml:space="preserve"> </v>
      </c>
    </row>
    <row r="353" spans="1:1" x14ac:dyDescent="0.25">
      <c r="A353">
        <f t="shared" si="6"/>
        <v xml:space="preserve"> </v>
      </c>
    </row>
    <row r="354" spans="1:1" x14ac:dyDescent="0.25">
      <c r="A354">
        <f t="shared" si="6"/>
        <v xml:space="preserve"> </v>
      </c>
    </row>
    <row r="355" spans="1:1" x14ac:dyDescent="0.25">
      <c r="A355">
        <f t="shared" si="6"/>
        <v xml:space="preserve"> </v>
      </c>
    </row>
    <row r="356" spans="1:1" x14ac:dyDescent="0.25">
      <c r="A356">
        <f t="shared" si="6"/>
        <v xml:space="preserve"> </v>
      </c>
    </row>
    <row r="357" spans="1:1" x14ac:dyDescent="0.25">
      <c r="A357">
        <f t="shared" si="6"/>
        <v xml:space="preserve"> </v>
      </c>
    </row>
    <row r="358" spans="1:1" x14ac:dyDescent="0.25">
      <c r="A358">
        <f t="shared" si="6"/>
        <v xml:space="preserve"> </v>
      </c>
    </row>
    <row r="359" spans="1:1" x14ac:dyDescent="0.25">
      <c r="A359">
        <f t="shared" si="6"/>
        <v xml:space="preserve"> </v>
      </c>
    </row>
    <row r="360" spans="1:1" x14ac:dyDescent="0.25">
      <c r="A360">
        <f t="shared" si="6"/>
        <v xml:space="preserve"> </v>
      </c>
    </row>
    <row r="361" spans="1:1" x14ac:dyDescent="0.25">
      <c r="A361">
        <f t="shared" si="6"/>
        <v xml:space="preserve"> </v>
      </c>
    </row>
    <row r="362" spans="1:1" x14ac:dyDescent="0.25">
      <c r="A362">
        <f t="shared" si="6"/>
        <v xml:space="preserve"> </v>
      </c>
    </row>
    <row r="363" spans="1:1" x14ac:dyDescent="0.25">
      <c r="A363">
        <f t="shared" si="6"/>
        <v xml:space="preserve"> </v>
      </c>
    </row>
    <row r="364" spans="1:1" x14ac:dyDescent="0.25">
      <c r="A364">
        <f t="shared" si="6"/>
        <v xml:space="preserve"> </v>
      </c>
    </row>
    <row r="365" spans="1:1" x14ac:dyDescent="0.25">
      <c r="A365">
        <f t="shared" si="6"/>
        <v xml:space="preserve"> </v>
      </c>
    </row>
    <row r="366" spans="1:1" x14ac:dyDescent="0.25">
      <c r="A366">
        <f t="shared" si="6"/>
        <v xml:space="preserve"> </v>
      </c>
    </row>
    <row r="367" spans="1:1" x14ac:dyDescent="0.25">
      <c r="A367">
        <f t="shared" si="6"/>
        <v xml:space="preserve"> </v>
      </c>
    </row>
    <row r="368" spans="1:1" x14ac:dyDescent="0.25">
      <c r="A368">
        <f t="shared" si="6"/>
        <v xml:space="preserve"> </v>
      </c>
    </row>
    <row r="369" spans="1:1" x14ac:dyDescent="0.25">
      <c r="A369">
        <f t="shared" si="6"/>
        <v xml:space="preserve"> </v>
      </c>
    </row>
    <row r="370" spans="1:1" x14ac:dyDescent="0.25">
      <c r="A370">
        <f t="shared" si="6"/>
        <v xml:space="preserve"> </v>
      </c>
    </row>
    <row r="371" spans="1:1" x14ac:dyDescent="0.25">
      <c r="A371">
        <f t="shared" si="6"/>
        <v xml:space="preserve"> </v>
      </c>
    </row>
    <row r="372" spans="1:1" x14ac:dyDescent="0.25">
      <c r="A372">
        <f t="shared" si="6"/>
        <v xml:space="preserve"> </v>
      </c>
    </row>
    <row r="373" spans="1:1" x14ac:dyDescent="0.25">
      <c r="A373">
        <f t="shared" si="6"/>
        <v xml:space="preserve"> </v>
      </c>
    </row>
    <row r="374" spans="1:1" x14ac:dyDescent="0.25">
      <c r="A374">
        <f t="shared" si="6"/>
        <v xml:space="preserve"> </v>
      </c>
    </row>
    <row r="375" spans="1:1" x14ac:dyDescent="0.25">
      <c r="A375">
        <f t="shared" si="6"/>
        <v xml:space="preserve"> </v>
      </c>
    </row>
    <row r="376" spans="1:1" x14ac:dyDescent="0.25">
      <c r="A376">
        <f t="shared" si="6"/>
        <v xml:space="preserve"> </v>
      </c>
    </row>
    <row r="377" spans="1:1" x14ac:dyDescent="0.25">
      <c r="A377">
        <f t="shared" si="6"/>
        <v xml:space="preserve"> </v>
      </c>
    </row>
    <row r="378" spans="1:1" x14ac:dyDescent="0.25">
      <c r="A378">
        <f t="shared" si="6"/>
        <v xml:space="preserve"> </v>
      </c>
    </row>
    <row r="379" spans="1:1" x14ac:dyDescent="0.25">
      <c r="A379">
        <f t="shared" si="6"/>
        <v xml:space="preserve"> </v>
      </c>
    </row>
    <row r="380" spans="1:1" x14ac:dyDescent="0.25">
      <c r="A380">
        <f t="shared" si="6"/>
        <v xml:space="preserve"> </v>
      </c>
    </row>
    <row r="381" spans="1:1" x14ac:dyDescent="0.25">
      <c r="A381">
        <f t="shared" si="6"/>
        <v xml:space="preserve"> </v>
      </c>
    </row>
    <row r="382" spans="1:1" x14ac:dyDescent="0.25">
      <c r="A382">
        <f t="shared" si="6"/>
        <v xml:space="preserve"> </v>
      </c>
    </row>
    <row r="383" spans="1:1" x14ac:dyDescent="0.25">
      <c r="A383">
        <f t="shared" si="6"/>
        <v xml:space="preserve"> </v>
      </c>
    </row>
    <row r="384" spans="1:1" x14ac:dyDescent="0.25">
      <c r="A384">
        <f t="shared" si="6"/>
        <v xml:space="preserve"> </v>
      </c>
    </row>
    <row r="385" spans="1:1" x14ac:dyDescent="0.25">
      <c r="A385">
        <f t="shared" si="6"/>
        <v xml:space="preserve"> </v>
      </c>
    </row>
    <row r="386" spans="1:1" x14ac:dyDescent="0.25">
      <c r="A386">
        <f t="shared" si="6"/>
        <v xml:space="preserve"> </v>
      </c>
    </row>
    <row r="387" spans="1:1" x14ac:dyDescent="0.25">
      <c r="A387">
        <f t="shared" ref="A387:A450" si="7">CONCATENATE(C387," ",H387)</f>
        <v xml:space="preserve"> </v>
      </c>
    </row>
    <row r="388" spans="1:1" x14ac:dyDescent="0.25">
      <c r="A388">
        <f t="shared" si="7"/>
        <v xml:space="preserve"> </v>
      </c>
    </row>
    <row r="389" spans="1:1" x14ac:dyDescent="0.25">
      <c r="A389">
        <f t="shared" si="7"/>
        <v xml:space="preserve"> </v>
      </c>
    </row>
    <row r="390" spans="1:1" x14ac:dyDescent="0.25">
      <c r="A390">
        <f t="shared" si="7"/>
        <v xml:space="preserve"> </v>
      </c>
    </row>
    <row r="391" spans="1:1" x14ac:dyDescent="0.25">
      <c r="A391">
        <f t="shared" si="7"/>
        <v xml:space="preserve"> </v>
      </c>
    </row>
    <row r="392" spans="1:1" x14ac:dyDescent="0.25">
      <c r="A392">
        <f t="shared" si="7"/>
        <v xml:space="preserve"> </v>
      </c>
    </row>
    <row r="393" spans="1:1" x14ac:dyDescent="0.25">
      <c r="A393">
        <f t="shared" si="7"/>
        <v xml:space="preserve"> </v>
      </c>
    </row>
    <row r="394" spans="1:1" x14ac:dyDescent="0.25">
      <c r="A394">
        <f t="shared" si="7"/>
        <v xml:space="preserve"> </v>
      </c>
    </row>
    <row r="395" spans="1:1" x14ac:dyDescent="0.25">
      <c r="A395">
        <f t="shared" si="7"/>
        <v xml:space="preserve"> </v>
      </c>
    </row>
    <row r="396" spans="1:1" x14ac:dyDescent="0.25">
      <c r="A396">
        <f t="shared" si="7"/>
        <v xml:space="preserve"> </v>
      </c>
    </row>
    <row r="397" spans="1:1" x14ac:dyDescent="0.25">
      <c r="A397">
        <f t="shared" si="7"/>
        <v xml:space="preserve"> </v>
      </c>
    </row>
    <row r="398" spans="1:1" x14ac:dyDescent="0.25">
      <c r="A398">
        <f t="shared" si="7"/>
        <v xml:space="preserve"> </v>
      </c>
    </row>
    <row r="399" spans="1:1" x14ac:dyDescent="0.25">
      <c r="A399">
        <f t="shared" si="7"/>
        <v xml:space="preserve"> </v>
      </c>
    </row>
    <row r="400" spans="1:1" x14ac:dyDescent="0.25">
      <c r="A400">
        <f t="shared" si="7"/>
        <v xml:space="preserve"> </v>
      </c>
    </row>
    <row r="401" spans="1:1" x14ac:dyDescent="0.25">
      <c r="A401">
        <f t="shared" si="7"/>
        <v xml:space="preserve"> </v>
      </c>
    </row>
    <row r="402" spans="1:1" x14ac:dyDescent="0.25">
      <c r="A402">
        <f t="shared" si="7"/>
        <v xml:space="preserve"> </v>
      </c>
    </row>
    <row r="403" spans="1:1" x14ac:dyDescent="0.25">
      <c r="A403">
        <f t="shared" si="7"/>
        <v xml:space="preserve"> </v>
      </c>
    </row>
    <row r="404" spans="1:1" x14ac:dyDescent="0.25">
      <c r="A404">
        <f t="shared" si="7"/>
        <v xml:space="preserve"> </v>
      </c>
    </row>
    <row r="405" spans="1:1" x14ac:dyDescent="0.25">
      <c r="A405">
        <f t="shared" si="7"/>
        <v xml:space="preserve"> </v>
      </c>
    </row>
    <row r="406" spans="1:1" x14ac:dyDescent="0.25">
      <c r="A406">
        <f t="shared" si="7"/>
        <v xml:space="preserve"> </v>
      </c>
    </row>
    <row r="407" spans="1:1" x14ac:dyDescent="0.25">
      <c r="A407">
        <f t="shared" si="7"/>
        <v xml:space="preserve"> </v>
      </c>
    </row>
    <row r="408" spans="1:1" x14ac:dyDescent="0.25">
      <c r="A408">
        <f t="shared" si="7"/>
        <v xml:space="preserve"> </v>
      </c>
    </row>
    <row r="409" spans="1:1" x14ac:dyDescent="0.25">
      <c r="A409">
        <f t="shared" si="7"/>
        <v xml:space="preserve"> </v>
      </c>
    </row>
    <row r="410" spans="1:1" x14ac:dyDescent="0.25">
      <c r="A410">
        <f t="shared" si="7"/>
        <v xml:space="preserve"> </v>
      </c>
    </row>
    <row r="411" spans="1:1" x14ac:dyDescent="0.25">
      <c r="A411">
        <f t="shared" si="7"/>
        <v xml:space="preserve"> </v>
      </c>
    </row>
    <row r="412" spans="1:1" x14ac:dyDescent="0.25">
      <c r="A412">
        <f t="shared" si="7"/>
        <v xml:space="preserve"> </v>
      </c>
    </row>
    <row r="413" spans="1:1" x14ac:dyDescent="0.25">
      <c r="A413">
        <f t="shared" si="7"/>
        <v xml:space="preserve"> </v>
      </c>
    </row>
    <row r="414" spans="1:1" x14ac:dyDescent="0.25">
      <c r="A414">
        <f t="shared" si="7"/>
        <v xml:space="preserve"> </v>
      </c>
    </row>
    <row r="415" spans="1:1" x14ac:dyDescent="0.25">
      <c r="A415">
        <f t="shared" si="7"/>
        <v xml:space="preserve"> </v>
      </c>
    </row>
    <row r="416" spans="1:1" x14ac:dyDescent="0.25">
      <c r="A416">
        <f t="shared" si="7"/>
        <v xml:space="preserve"> </v>
      </c>
    </row>
    <row r="417" spans="1:1" x14ac:dyDescent="0.25">
      <c r="A417">
        <f t="shared" si="7"/>
        <v xml:space="preserve"> </v>
      </c>
    </row>
    <row r="418" spans="1:1" x14ac:dyDescent="0.25">
      <c r="A418">
        <f t="shared" si="7"/>
        <v xml:space="preserve"> </v>
      </c>
    </row>
    <row r="419" spans="1:1" x14ac:dyDescent="0.25">
      <c r="A419">
        <f t="shared" si="7"/>
        <v xml:space="preserve"> </v>
      </c>
    </row>
    <row r="420" spans="1:1" x14ac:dyDescent="0.25">
      <c r="A420">
        <f t="shared" si="7"/>
        <v xml:space="preserve"> </v>
      </c>
    </row>
    <row r="421" spans="1:1" x14ac:dyDescent="0.25">
      <c r="A421">
        <f t="shared" si="7"/>
        <v xml:space="preserve"> </v>
      </c>
    </row>
    <row r="422" spans="1:1" x14ac:dyDescent="0.25">
      <c r="A422">
        <f t="shared" si="7"/>
        <v xml:space="preserve"> </v>
      </c>
    </row>
    <row r="423" spans="1:1" x14ac:dyDescent="0.25">
      <c r="A423">
        <f t="shared" si="7"/>
        <v xml:space="preserve"> </v>
      </c>
    </row>
    <row r="424" spans="1:1" x14ac:dyDescent="0.25">
      <c r="A424">
        <f t="shared" si="7"/>
        <v xml:space="preserve"> </v>
      </c>
    </row>
    <row r="425" spans="1:1" x14ac:dyDescent="0.25">
      <c r="A425">
        <f t="shared" si="7"/>
        <v xml:space="preserve"> </v>
      </c>
    </row>
    <row r="426" spans="1:1" x14ac:dyDescent="0.25">
      <c r="A426">
        <f t="shared" si="7"/>
        <v xml:space="preserve"> </v>
      </c>
    </row>
    <row r="427" spans="1:1" x14ac:dyDescent="0.25">
      <c r="A427">
        <f t="shared" si="7"/>
        <v xml:space="preserve"> </v>
      </c>
    </row>
    <row r="428" spans="1:1" x14ac:dyDescent="0.25">
      <c r="A428">
        <f t="shared" si="7"/>
        <v xml:space="preserve"> </v>
      </c>
    </row>
    <row r="429" spans="1:1" x14ac:dyDescent="0.25">
      <c r="A429">
        <f t="shared" si="7"/>
        <v xml:space="preserve"> </v>
      </c>
    </row>
    <row r="430" spans="1:1" x14ac:dyDescent="0.25">
      <c r="A430">
        <f t="shared" si="7"/>
        <v xml:space="preserve"> </v>
      </c>
    </row>
    <row r="431" spans="1:1" x14ac:dyDescent="0.25">
      <c r="A431">
        <f t="shared" si="7"/>
        <v xml:space="preserve"> </v>
      </c>
    </row>
    <row r="432" spans="1:1" x14ac:dyDescent="0.25">
      <c r="A432">
        <f t="shared" si="7"/>
        <v xml:space="preserve"> </v>
      </c>
    </row>
    <row r="433" spans="1:1" x14ac:dyDescent="0.25">
      <c r="A433">
        <f t="shared" si="7"/>
        <v xml:space="preserve"> </v>
      </c>
    </row>
    <row r="434" spans="1:1" x14ac:dyDescent="0.25">
      <c r="A434">
        <f t="shared" si="7"/>
        <v xml:space="preserve"> </v>
      </c>
    </row>
    <row r="435" spans="1:1" x14ac:dyDescent="0.25">
      <c r="A435">
        <f t="shared" si="7"/>
        <v xml:space="preserve"> </v>
      </c>
    </row>
    <row r="436" spans="1:1" x14ac:dyDescent="0.25">
      <c r="A436">
        <f t="shared" si="7"/>
        <v xml:space="preserve"> </v>
      </c>
    </row>
    <row r="437" spans="1:1" x14ac:dyDescent="0.25">
      <c r="A437">
        <f t="shared" si="7"/>
        <v xml:space="preserve"> </v>
      </c>
    </row>
    <row r="438" spans="1:1" x14ac:dyDescent="0.25">
      <c r="A438">
        <f t="shared" si="7"/>
        <v xml:space="preserve"> </v>
      </c>
    </row>
    <row r="439" spans="1:1" x14ac:dyDescent="0.25">
      <c r="A439">
        <f t="shared" si="7"/>
        <v xml:space="preserve"> </v>
      </c>
    </row>
    <row r="440" spans="1:1" x14ac:dyDescent="0.25">
      <c r="A440">
        <f t="shared" si="7"/>
        <v xml:space="preserve"> </v>
      </c>
    </row>
    <row r="441" spans="1:1" x14ac:dyDescent="0.25">
      <c r="A441">
        <f t="shared" si="7"/>
        <v xml:space="preserve"> </v>
      </c>
    </row>
    <row r="442" spans="1:1" x14ac:dyDescent="0.25">
      <c r="A442">
        <f t="shared" si="7"/>
        <v xml:space="preserve"> </v>
      </c>
    </row>
    <row r="443" spans="1:1" x14ac:dyDescent="0.25">
      <c r="A443">
        <f t="shared" si="7"/>
        <v xml:space="preserve"> </v>
      </c>
    </row>
    <row r="444" spans="1:1" x14ac:dyDescent="0.25">
      <c r="A444">
        <f t="shared" si="7"/>
        <v xml:space="preserve"> </v>
      </c>
    </row>
    <row r="445" spans="1:1" x14ac:dyDescent="0.25">
      <c r="A445">
        <f t="shared" si="7"/>
        <v xml:space="preserve"> </v>
      </c>
    </row>
    <row r="446" spans="1:1" x14ac:dyDescent="0.25">
      <c r="A446">
        <f t="shared" si="7"/>
        <v xml:space="preserve"> </v>
      </c>
    </row>
    <row r="447" spans="1:1" x14ac:dyDescent="0.25">
      <c r="A447">
        <f t="shared" si="7"/>
        <v xml:space="preserve"> </v>
      </c>
    </row>
    <row r="448" spans="1:1" x14ac:dyDescent="0.25">
      <c r="A448">
        <f t="shared" si="7"/>
        <v xml:space="preserve"> </v>
      </c>
    </row>
    <row r="449" spans="1:1" x14ac:dyDescent="0.25">
      <c r="A449">
        <f t="shared" si="7"/>
        <v xml:space="preserve"> </v>
      </c>
    </row>
    <row r="450" spans="1:1" x14ac:dyDescent="0.25">
      <c r="A450">
        <f t="shared" si="7"/>
        <v xml:space="preserve"> </v>
      </c>
    </row>
    <row r="451" spans="1:1" x14ac:dyDescent="0.25">
      <c r="A451">
        <f t="shared" ref="A451:A514" si="8">CONCATENATE(C451," ",H451)</f>
        <v xml:space="preserve"> </v>
      </c>
    </row>
    <row r="452" spans="1:1" x14ac:dyDescent="0.25">
      <c r="A452">
        <f t="shared" si="8"/>
        <v xml:space="preserve"> </v>
      </c>
    </row>
    <row r="453" spans="1:1" x14ac:dyDescent="0.25">
      <c r="A453">
        <f t="shared" si="8"/>
        <v xml:space="preserve"> </v>
      </c>
    </row>
    <row r="454" spans="1:1" x14ac:dyDescent="0.25">
      <c r="A454">
        <f t="shared" si="8"/>
        <v xml:space="preserve"> </v>
      </c>
    </row>
    <row r="455" spans="1:1" x14ac:dyDescent="0.25">
      <c r="A455">
        <f t="shared" si="8"/>
        <v xml:space="preserve"> </v>
      </c>
    </row>
    <row r="456" spans="1:1" x14ac:dyDescent="0.25">
      <c r="A456">
        <f t="shared" si="8"/>
        <v xml:space="preserve"> </v>
      </c>
    </row>
    <row r="457" spans="1:1" x14ac:dyDescent="0.25">
      <c r="A457">
        <f t="shared" si="8"/>
        <v xml:space="preserve"> </v>
      </c>
    </row>
    <row r="458" spans="1:1" x14ac:dyDescent="0.25">
      <c r="A458">
        <f t="shared" si="8"/>
        <v xml:space="preserve"> </v>
      </c>
    </row>
    <row r="459" spans="1:1" x14ac:dyDescent="0.25">
      <c r="A459">
        <f t="shared" si="8"/>
        <v xml:space="preserve"> </v>
      </c>
    </row>
    <row r="460" spans="1:1" x14ac:dyDescent="0.25">
      <c r="A460">
        <f t="shared" si="8"/>
        <v xml:space="preserve"> </v>
      </c>
    </row>
    <row r="461" spans="1:1" x14ac:dyDescent="0.25">
      <c r="A461">
        <f t="shared" si="8"/>
        <v xml:space="preserve"> </v>
      </c>
    </row>
    <row r="462" spans="1:1" x14ac:dyDescent="0.25">
      <c r="A462">
        <f t="shared" si="8"/>
        <v xml:space="preserve"> </v>
      </c>
    </row>
    <row r="463" spans="1:1" x14ac:dyDescent="0.25">
      <c r="A463">
        <f t="shared" si="8"/>
        <v xml:space="preserve"> </v>
      </c>
    </row>
    <row r="464" spans="1:1" x14ac:dyDescent="0.25">
      <c r="A464">
        <f t="shared" si="8"/>
        <v xml:space="preserve"> </v>
      </c>
    </row>
    <row r="465" spans="1:1" x14ac:dyDescent="0.25">
      <c r="A465">
        <f t="shared" si="8"/>
        <v xml:space="preserve"> </v>
      </c>
    </row>
    <row r="466" spans="1:1" x14ac:dyDescent="0.25">
      <c r="A466">
        <f t="shared" si="8"/>
        <v xml:space="preserve"> </v>
      </c>
    </row>
    <row r="467" spans="1:1" x14ac:dyDescent="0.25">
      <c r="A467">
        <f t="shared" si="8"/>
        <v xml:space="preserve"> </v>
      </c>
    </row>
    <row r="468" spans="1:1" x14ac:dyDescent="0.25">
      <c r="A468">
        <f t="shared" si="8"/>
        <v xml:space="preserve"> </v>
      </c>
    </row>
    <row r="469" spans="1:1" x14ac:dyDescent="0.25">
      <c r="A469">
        <f t="shared" si="8"/>
        <v xml:space="preserve"> </v>
      </c>
    </row>
    <row r="470" spans="1:1" x14ac:dyDescent="0.25">
      <c r="A470">
        <f t="shared" si="8"/>
        <v xml:space="preserve"> </v>
      </c>
    </row>
    <row r="471" spans="1:1" x14ac:dyDescent="0.25">
      <c r="A471">
        <f t="shared" si="8"/>
        <v xml:space="preserve"> </v>
      </c>
    </row>
    <row r="472" spans="1:1" x14ac:dyDescent="0.25">
      <c r="A472">
        <f t="shared" si="8"/>
        <v xml:space="preserve"> </v>
      </c>
    </row>
    <row r="473" spans="1:1" x14ac:dyDescent="0.25">
      <c r="A473">
        <f t="shared" si="8"/>
        <v xml:space="preserve"> </v>
      </c>
    </row>
    <row r="474" spans="1:1" x14ac:dyDescent="0.25">
      <c r="A474">
        <f t="shared" si="8"/>
        <v xml:space="preserve"> </v>
      </c>
    </row>
    <row r="475" spans="1:1" x14ac:dyDescent="0.25">
      <c r="A475">
        <f t="shared" si="8"/>
        <v xml:space="preserve"> </v>
      </c>
    </row>
    <row r="476" spans="1:1" x14ac:dyDescent="0.25">
      <c r="A476">
        <f t="shared" si="8"/>
        <v xml:space="preserve"> </v>
      </c>
    </row>
    <row r="477" spans="1:1" x14ac:dyDescent="0.25">
      <c r="A477">
        <f t="shared" si="8"/>
        <v xml:space="preserve"> </v>
      </c>
    </row>
    <row r="478" spans="1:1" x14ac:dyDescent="0.25">
      <c r="A478">
        <f t="shared" si="8"/>
        <v xml:space="preserve"> </v>
      </c>
    </row>
    <row r="479" spans="1:1" x14ac:dyDescent="0.25">
      <c r="A479">
        <f t="shared" si="8"/>
        <v xml:space="preserve"> </v>
      </c>
    </row>
    <row r="480" spans="1:1" x14ac:dyDescent="0.25">
      <c r="A480">
        <f t="shared" si="8"/>
        <v xml:space="preserve"> </v>
      </c>
    </row>
    <row r="481" spans="1:1" x14ac:dyDescent="0.25">
      <c r="A481">
        <f t="shared" si="8"/>
        <v xml:space="preserve"> </v>
      </c>
    </row>
    <row r="482" spans="1:1" x14ac:dyDescent="0.25">
      <c r="A482">
        <f t="shared" si="8"/>
        <v xml:space="preserve"> </v>
      </c>
    </row>
    <row r="483" spans="1:1" x14ac:dyDescent="0.25">
      <c r="A483">
        <f t="shared" si="8"/>
        <v xml:space="preserve"> </v>
      </c>
    </row>
    <row r="484" spans="1:1" x14ac:dyDescent="0.25">
      <c r="A484">
        <f t="shared" si="8"/>
        <v xml:space="preserve"> </v>
      </c>
    </row>
    <row r="485" spans="1:1" x14ac:dyDescent="0.25">
      <c r="A485">
        <f t="shared" si="8"/>
        <v xml:space="preserve"> </v>
      </c>
    </row>
    <row r="486" spans="1:1" x14ac:dyDescent="0.25">
      <c r="A486">
        <f t="shared" si="8"/>
        <v xml:space="preserve"> </v>
      </c>
    </row>
    <row r="487" spans="1:1" x14ac:dyDescent="0.25">
      <c r="A487">
        <f t="shared" si="8"/>
        <v xml:space="preserve"> </v>
      </c>
    </row>
    <row r="488" spans="1:1" x14ac:dyDescent="0.25">
      <c r="A488">
        <f t="shared" si="8"/>
        <v xml:space="preserve"> </v>
      </c>
    </row>
    <row r="489" spans="1:1" x14ac:dyDescent="0.25">
      <c r="A489">
        <f t="shared" si="8"/>
        <v xml:space="preserve"> </v>
      </c>
    </row>
    <row r="490" spans="1:1" x14ac:dyDescent="0.25">
      <c r="A490">
        <f t="shared" si="8"/>
        <v xml:space="preserve"> </v>
      </c>
    </row>
    <row r="491" spans="1:1" x14ac:dyDescent="0.25">
      <c r="A491">
        <f t="shared" si="8"/>
        <v xml:space="preserve"> </v>
      </c>
    </row>
    <row r="492" spans="1:1" x14ac:dyDescent="0.25">
      <c r="A492">
        <f t="shared" si="8"/>
        <v xml:space="preserve"> </v>
      </c>
    </row>
    <row r="493" spans="1:1" x14ac:dyDescent="0.25">
      <c r="A493">
        <f t="shared" si="8"/>
        <v xml:space="preserve"> </v>
      </c>
    </row>
    <row r="494" spans="1:1" x14ac:dyDescent="0.25">
      <c r="A494">
        <f t="shared" si="8"/>
        <v xml:space="preserve"> </v>
      </c>
    </row>
    <row r="495" spans="1:1" x14ac:dyDescent="0.25">
      <c r="A495">
        <f t="shared" si="8"/>
        <v xml:space="preserve"> </v>
      </c>
    </row>
    <row r="496" spans="1:1" x14ac:dyDescent="0.25">
      <c r="A496">
        <f t="shared" si="8"/>
        <v xml:space="preserve"> </v>
      </c>
    </row>
    <row r="497" spans="1:1" x14ac:dyDescent="0.25">
      <c r="A497">
        <f t="shared" si="8"/>
        <v xml:space="preserve"> </v>
      </c>
    </row>
    <row r="498" spans="1:1" x14ac:dyDescent="0.25">
      <c r="A498">
        <f t="shared" si="8"/>
        <v xml:space="preserve"> </v>
      </c>
    </row>
    <row r="499" spans="1:1" x14ac:dyDescent="0.25">
      <c r="A499">
        <f t="shared" si="8"/>
        <v xml:space="preserve"> </v>
      </c>
    </row>
    <row r="500" spans="1:1" x14ac:dyDescent="0.25">
      <c r="A500">
        <f t="shared" si="8"/>
        <v xml:space="preserve"> </v>
      </c>
    </row>
    <row r="501" spans="1:1" x14ac:dyDescent="0.25">
      <c r="A501">
        <f t="shared" si="8"/>
        <v xml:space="preserve"> </v>
      </c>
    </row>
    <row r="502" spans="1:1" x14ac:dyDescent="0.25">
      <c r="A502">
        <f t="shared" si="8"/>
        <v xml:space="preserve"> </v>
      </c>
    </row>
    <row r="503" spans="1:1" x14ac:dyDescent="0.25">
      <c r="A503">
        <f t="shared" si="8"/>
        <v xml:space="preserve"> </v>
      </c>
    </row>
    <row r="504" spans="1:1" x14ac:dyDescent="0.25">
      <c r="A504">
        <f t="shared" si="8"/>
        <v xml:space="preserve"> </v>
      </c>
    </row>
    <row r="505" spans="1:1" x14ac:dyDescent="0.25">
      <c r="A505">
        <f t="shared" si="8"/>
        <v xml:space="preserve"> </v>
      </c>
    </row>
    <row r="506" spans="1:1" x14ac:dyDescent="0.25">
      <c r="A506">
        <f t="shared" si="8"/>
        <v xml:space="preserve"> </v>
      </c>
    </row>
    <row r="507" spans="1:1" x14ac:dyDescent="0.25">
      <c r="A507">
        <f t="shared" si="8"/>
        <v xml:space="preserve"> </v>
      </c>
    </row>
    <row r="508" spans="1:1" x14ac:dyDescent="0.25">
      <c r="A508">
        <f t="shared" si="8"/>
        <v xml:space="preserve"> </v>
      </c>
    </row>
    <row r="509" spans="1:1" x14ac:dyDescent="0.25">
      <c r="A509">
        <f t="shared" si="8"/>
        <v xml:space="preserve"> </v>
      </c>
    </row>
    <row r="510" spans="1:1" x14ac:dyDescent="0.25">
      <c r="A510">
        <f t="shared" si="8"/>
        <v xml:space="preserve"> </v>
      </c>
    </row>
    <row r="511" spans="1:1" x14ac:dyDescent="0.25">
      <c r="A511">
        <f t="shared" si="8"/>
        <v xml:space="preserve"> </v>
      </c>
    </row>
    <row r="512" spans="1:1" x14ac:dyDescent="0.25">
      <c r="A512">
        <f t="shared" si="8"/>
        <v xml:space="preserve"> </v>
      </c>
    </row>
    <row r="513" spans="1:1" x14ac:dyDescent="0.25">
      <c r="A513">
        <f t="shared" si="8"/>
        <v xml:space="preserve"> </v>
      </c>
    </row>
    <row r="514" spans="1:1" x14ac:dyDescent="0.25">
      <c r="A514">
        <f t="shared" si="8"/>
        <v xml:space="preserve"> </v>
      </c>
    </row>
    <row r="515" spans="1:1" x14ac:dyDescent="0.25">
      <c r="A515">
        <f t="shared" ref="A515:A578" si="9">CONCATENATE(C515," ",H515)</f>
        <v xml:space="preserve"> </v>
      </c>
    </row>
    <row r="516" spans="1:1" x14ac:dyDescent="0.25">
      <c r="A516">
        <f t="shared" si="9"/>
        <v xml:space="preserve"> </v>
      </c>
    </row>
    <row r="517" spans="1:1" x14ac:dyDescent="0.25">
      <c r="A517">
        <f t="shared" si="9"/>
        <v xml:space="preserve"> </v>
      </c>
    </row>
    <row r="518" spans="1:1" x14ac:dyDescent="0.25">
      <c r="A518">
        <f t="shared" si="9"/>
        <v xml:space="preserve"> </v>
      </c>
    </row>
    <row r="519" spans="1:1" x14ac:dyDescent="0.25">
      <c r="A519">
        <f t="shared" si="9"/>
        <v xml:space="preserve"> </v>
      </c>
    </row>
    <row r="520" spans="1:1" x14ac:dyDescent="0.25">
      <c r="A520">
        <f t="shared" si="9"/>
        <v xml:space="preserve"> </v>
      </c>
    </row>
    <row r="521" spans="1:1" x14ac:dyDescent="0.25">
      <c r="A521">
        <f t="shared" si="9"/>
        <v xml:space="preserve"> </v>
      </c>
    </row>
    <row r="522" spans="1:1" x14ac:dyDescent="0.25">
      <c r="A522">
        <f t="shared" si="9"/>
        <v xml:space="preserve"> </v>
      </c>
    </row>
    <row r="523" spans="1:1" x14ac:dyDescent="0.25">
      <c r="A523">
        <f t="shared" si="9"/>
        <v xml:space="preserve"> </v>
      </c>
    </row>
    <row r="524" spans="1:1" x14ac:dyDescent="0.25">
      <c r="A524">
        <f t="shared" si="9"/>
        <v xml:space="preserve"> </v>
      </c>
    </row>
    <row r="525" spans="1:1" x14ac:dyDescent="0.25">
      <c r="A525">
        <f t="shared" si="9"/>
        <v xml:space="preserve"> </v>
      </c>
    </row>
    <row r="526" spans="1:1" x14ac:dyDescent="0.25">
      <c r="A526">
        <f t="shared" si="9"/>
        <v xml:space="preserve"> </v>
      </c>
    </row>
    <row r="527" spans="1:1" x14ac:dyDescent="0.25">
      <c r="A527">
        <f t="shared" si="9"/>
        <v xml:space="preserve"> </v>
      </c>
    </row>
    <row r="528" spans="1:1" x14ac:dyDescent="0.25">
      <c r="A528">
        <f t="shared" si="9"/>
        <v xml:space="preserve"> </v>
      </c>
    </row>
    <row r="529" spans="1:1" x14ac:dyDescent="0.25">
      <c r="A529">
        <f t="shared" si="9"/>
        <v xml:space="preserve"> </v>
      </c>
    </row>
    <row r="530" spans="1:1" x14ac:dyDescent="0.25">
      <c r="A530">
        <f t="shared" si="9"/>
        <v xml:space="preserve"> </v>
      </c>
    </row>
    <row r="531" spans="1:1" x14ac:dyDescent="0.25">
      <c r="A531">
        <f t="shared" si="9"/>
        <v xml:space="preserve"> </v>
      </c>
    </row>
    <row r="532" spans="1:1" x14ac:dyDescent="0.25">
      <c r="A532">
        <f t="shared" si="9"/>
        <v xml:space="preserve"> </v>
      </c>
    </row>
    <row r="533" spans="1:1" x14ac:dyDescent="0.25">
      <c r="A533">
        <f t="shared" si="9"/>
        <v xml:space="preserve"> </v>
      </c>
    </row>
    <row r="534" spans="1:1" x14ac:dyDescent="0.25">
      <c r="A534">
        <f t="shared" si="9"/>
        <v xml:space="preserve"> </v>
      </c>
    </row>
    <row r="535" spans="1:1" x14ac:dyDescent="0.25">
      <c r="A535">
        <f t="shared" si="9"/>
        <v xml:space="preserve"> </v>
      </c>
    </row>
    <row r="536" spans="1:1" x14ac:dyDescent="0.25">
      <c r="A536">
        <f t="shared" si="9"/>
        <v xml:space="preserve"> </v>
      </c>
    </row>
    <row r="537" spans="1:1" x14ac:dyDescent="0.25">
      <c r="A537">
        <f t="shared" si="9"/>
        <v xml:space="preserve"> </v>
      </c>
    </row>
    <row r="538" spans="1:1" x14ac:dyDescent="0.25">
      <c r="A538">
        <f t="shared" si="9"/>
        <v xml:space="preserve"> </v>
      </c>
    </row>
    <row r="539" spans="1:1" x14ac:dyDescent="0.25">
      <c r="A539">
        <f t="shared" si="9"/>
        <v xml:space="preserve"> </v>
      </c>
    </row>
    <row r="540" spans="1:1" x14ac:dyDescent="0.25">
      <c r="A540">
        <f t="shared" si="9"/>
        <v xml:space="preserve"> </v>
      </c>
    </row>
    <row r="541" spans="1:1" x14ac:dyDescent="0.25">
      <c r="A541">
        <f t="shared" si="9"/>
        <v xml:space="preserve"> </v>
      </c>
    </row>
    <row r="542" spans="1:1" x14ac:dyDescent="0.25">
      <c r="A542">
        <f t="shared" si="9"/>
        <v xml:space="preserve"> </v>
      </c>
    </row>
    <row r="543" spans="1:1" x14ac:dyDescent="0.25">
      <c r="A543">
        <f t="shared" si="9"/>
        <v xml:space="preserve"> </v>
      </c>
    </row>
    <row r="544" spans="1:1" x14ac:dyDescent="0.25">
      <c r="A544">
        <f t="shared" si="9"/>
        <v xml:space="preserve"> </v>
      </c>
    </row>
    <row r="545" spans="1:1" x14ac:dyDescent="0.25">
      <c r="A545">
        <f t="shared" si="9"/>
        <v xml:space="preserve"> </v>
      </c>
    </row>
    <row r="546" spans="1:1" x14ac:dyDescent="0.25">
      <c r="A546">
        <f t="shared" si="9"/>
        <v xml:space="preserve"> </v>
      </c>
    </row>
    <row r="547" spans="1:1" x14ac:dyDescent="0.25">
      <c r="A547">
        <f t="shared" si="9"/>
        <v xml:space="preserve"> </v>
      </c>
    </row>
    <row r="548" spans="1:1" x14ac:dyDescent="0.25">
      <c r="A548">
        <f t="shared" si="9"/>
        <v xml:space="preserve"> </v>
      </c>
    </row>
    <row r="549" spans="1:1" x14ac:dyDescent="0.25">
      <c r="A549">
        <f t="shared" si="9"/>
        <v xml:space="preserve"> </v>
      </c>
    </row>
    <row r="550" spans="1:1" x14ac:dyDescent="0.25">
      <c r="A550">
        <f t="shared" si="9"/>
        <v xml:space="preserve"> </v>
      </c>
    </row>
    <row r="551" spans="1:1" x14ac:dyDescent="0.25">
      <c r="A551">
        <f t="shared" si="9"/>
        <v xml:space="preserve"> </v>
      </c>
    </row>
    <row r="552" spans="1:1" x14ac:dyDescent="0.25">
      <c r="A552">
        <f t="shared" si="9"/>
        <v xml:space="preserve"> </v>
      </c>
    </row>
    <row r="553" spans="1:1" x14ac:dyDescent="0.25">
      <c r="A553">
        <f t="shared" si="9"/>
        <v xml:space="preserve"> </v>
      </c>
    </row>
    <row r="554" spans="1:1" x14ac:dyDescent="0.25">
      <c r="A554">
        <f t="shared" si="9"/>
        <v xml:space="preserve"> </v>
      </c>
    </row>
    <row r="555" spans="1:1" x14ac:dyDescent="0.25">
      <c r="A555">
        <f t="shared" si="9"/>
        <v xml:space="preserve"> </v>
      </c>
    </row>
    <row r="556" spans="1:1" x14ac:dyDescent="0.25">
      <c r="A556">
        <f t="shared" si="9"/>
        <v xml:space="preserve"> </v>
      </c>
    </row>
    <row r="557" spans="1:1" x14ac:dyDescent="0.25">
      <c r="A557">
        <f t="shared" si="9"/>
        <v xml:space="preserve"> </v>
      </c>
    </row>
    <row r="558" spans="1:1" x14ac:dyDescent="0.25">
      <c r="A558">
        <f t="shared" si="9"/>
        <v xml:space="preserve"> </v>
      </c>
    </row>
    <row r="559" spans="1:1" x14ac:dyDescent="0.25">
      <c r="A559">
        <f t="shared" si="9"/>
        <v xml:space="preserve"> </v>
      </c>
    </row>
    <row r="560" spans="1:1" x14ac:dyDescent="0.25">
      <c r="A560">
        <f t="shared" si="9"/>
        <v xml:space="preserve"> </v>
      </c>
    </row>
    <row r="561" spans="1:1" x14ac:dyDescent="0.25">
      <c r="A561">
        <f t="shared" si="9"/>
        <v xml:space="preserve"> </v>
      </c>
    </row>
    <row r="562" spans="1:1" x14ac:dyDescent="0.25">
      <c r="A562">
        <f t="shared" si="9"/>
        <v xml:space="preserve"> </v>
      </c>
    </row>
    <row r="563" spans="1:1" x14ac:dyDescent="0.25">
      <c r="A563">
        <f t="shared" si="9"/>
        <v xml:space="preserve"> </v>
      </c>
    </row>
    <row r="564" spans="1:1" x14ac:dyDescent="0.25">
      <c r="A564">
        <f t="shared" si="9"/>
        <v xml:space="preserve"> </v>
      </c>
    </row>
    <row r="565" spans="1:1" x14ac:dyDescent="0.25">
      <c r="A565">
        <f t="shared" si="9"/>
        <v xml:space="preserve"> </v>
      </c>
    </row>
    <row r="566" spans="1:1" x14ac:dyDescent="0.25">
      <c r="A566">
        <f t="shared" si="9"/>
        <v xml:space="preserve"> </v>
      </c>
    </row>
    <row r="567" spans="1:1" x14ac:dyDescent="0.25">
      <c r="A567">
        <f t="shared" si="9"/>
        <v xml:space="preserve"> </v>
      </c>
    </row>
    <row r="568" spans="1:1" x14ac:dyDescent="0.25">
      <c r="A568">
        <f t="shared" si="9"/>
        <v xml:space="preserve"> </v>
      </c>
    </row>
    <row r="569" spans="1:1" x14ac:dyDescent="0.25">
      <c r="A569">
        <f t="shared" si="9"/>
        <v xml:space="preserve"> </v>
      </c>
    </row>
    <row r="570" spans="1:1" x14ac:dyDescent="0.25">
      <c r="A570">
        <f t="shared" si="9"/>
        <v xml:space="preserve"> </v>
      </c>
    </row>
    <row r="571" spans="1:1" x14ac:dyDescent="0.25">
      <c r="A571">
        <f t="shared" si="9"/>
        <v xml:space="preserve"> </v>
      </c>
    </row>
    <row r="572" spans="1:1" x14ac:dyDescent="0.25">
      <c r="A572">
        <f t="shared" si="9"/>
        <v xml:space="preserve"> </v>
      </c>
    </row>
    <row r="573" spans="1:1" x14ac:dyDescent="0.25">
      <c r="A573">
        <f t="shared" si="9"/>
        <v xml:space="preserve"> </v>
      </c>
    </row>
    <row r="574" spans="1:1" x14ac:dyDescent="0.25">
      <c r="A574">
        <f t="shared" si="9"/>
        <v xml:space="preserve"> </v>
      </c>
    </row>
    <row r="575" spans="1:1" x14ac:dyDescent="0.25">
      <c r="A575">
        <f t="shared" si="9"/>
        <v xml:space="preserve"> </v>
      </c>
    </row>
    <row r="576" spans="1:1" x14ac:dyDescent="0.25">
      <c r="A576">
        <f t="shared" si="9"/>
        <v xml:space="preserve"> </v>
      </c>
    </row>
    <row r="577" spans="1:1" x14ac:dyDescent="0.25">
      <c r="A577">
        <f t="shared" si="9"/>
        <v xml:space="preserve"> </v>
      </c>
    </row>
    <row r="578" spans="1:1" x14ac:dyDescent="0.25">
      <c r="A578">
        <f t="shared" si="9"/>
        <v xml:space="preserve"> </v>
      </c>
    </row>
    <row r="579" spans="1:1" x14ac:dyDescent="0.25">
      <c r="A579">
        <f t="shared" ref="A579:A642" si="10">CONCATENATE(C579," ",H579)</f>
        <v xml:space="preserve"> </v>
      </c>
    </row>
    <row r="580" spans="1:1" x14ac:dyDescent="0.25">
      <c r="A580">
        <f t="shared" si="10"/>
        <v xml:space="preserve"> </v>
      </c>
    </row>
    <row r="581" spans="1:1" x14ac:dyDescent="0.25">
      <c r="A581">
        <f t="shared" si="10"/>
        <v xml:space="preserve"> </v>
      </c>
    </row>
    <row r="582" spans="1:1" x14ac:dyDescent="0.25">
      <c r="A582">
        <f t="shared" si="10"/>
        <v xml:space="preserve"> </v>
      </c>
    </row>
    <row r="583" spans="1:1" x14ac:dyDescent="0.25">
      <c r="A583">
        <f t="shared" si="10"/>
        <v xml:space="preserve"> </v>
      </c>
    </row>
    <row r="584" spans="1:1" x14ac:dyDescent="0.25">
      <c r="A584">
        <f t="shared" si="10"/>
        <v xml:space="preserve"> </v>
      </c>
    </row>
    <row r="585" spans="1:1" x14ac:dyDescent="0.25">
      <c r="A585">
        <f t="shared" si="10"/>
        <v xml:space="preserve"> </v>
      </c>
    </row>
    <row r="586" spans="1:1" x14ac:dyDescent="0.25">
      <c r="A586">
        <f t="shared" si="10"/>
        <v xml:space="preserve"> </v>
      </c>
    </row>
    <row r="587" spans="1:1" x14ac:dyDescent="0.25">
      <c r="A587">
        <f t="shared" si="10"/>
        <v xml:space="preserve"> </v>
      </c>
    </row>
    <row r="588" spans="1:1" x14ac:dyDescent="0.25">
      <c r="A588">
        <f t="shared" si="10"/>
        <v xml:space="preserve"> </v>
      </c>
    </row>
    <row r="589" spans="1:1" x14ac:dyDescent="0.25">
      <c r="A589">
        <f t="shared" si="10"/>
        <v xml:space="preserve"> </v>
      </c>
    </row>
    <row r="590" spans="1:1" x14ac:dyDescent="0.25">
      <c r="A590">
        <f t="shared" si="10"/>
        <v xml:space="preserve"> </v>
      </c>
    </row>
    <row r="591" spans="1:1" x14ac:dyDescent="0.25">
      <c r="A591">
        <f t="shared" si="10"/>
        <v xml:space="preserve"> </v>
      </c>
    </row>
    <row r="592" spans="1:1" x14ac:dyDescent="0.25">
      <c r="A592">
        <f t="shared" si="10"/>
        <v xml:space="preserve"> </v>
      </c>
    </row>
    <row r="593" spans="1:1" x14ac:dyDescent="0.25">
      <c r="A593">
        <f t="shared" si="10"/>
        <v xml:space="preserve"> </v>
      </c>
    </row>
    <row r="594" spans="1:1" x14ac:dyDescent="0.25">
      <c r="A594">
        <f t="shared" si="10"/>
        <v xml:space="preserve"> </v>
      </c>
    </row>
    <row r="595" spans="1:1" x14ac:dyDescent="0.25">
      <c r="A595">
        <f t="shared" si="10"/>
        <v xml:space="preserve"> </v>
      </c>
    </row>
    <row r="596" spans="1:1" x14ac:dyDescent="0.25">
      <c r="A596">
        <f t="shared" si="10"/>
        <v xml:space="preserve"> </v>
      </c>
    </row>
    <row r="597" spans="1:1" x14ac:dyDescent="0.25">
      <c r="A597">
        <f t="shared" si="10"/>
        <v xml:space="preserve"> </v>
      </c>
    </row>
    <row r="598" spans="1:1" x14ac:dyDescent="0.25">
      <c r="A598">
        <f t="shared" si="10"/>
        <v xml:space="preserve"> </v>
      </c>
    </row>
    <row r="599" spans="1:1" x14ac:dyDescent="0.25">
      <c r="A599">
        <f t="shared" si="10"/>
        <v xml:space="preserve"> </v>
      </c>
    </row>
    <row r="600" spans="1:1" x14ac:dyDescent="0.25">
      <c r="A600">
        <f t="shared" si="10"/>
        <v xml:space="preserve"> </v>
      </c>
    </row>
    <row r="601" spans="1:1" x14ac:dyDescent="0.25">
      <c r="A601">
        <f t="shared" si="10"/>
        <v xml:space="preserve"> </v>
      </c>
    </row>
    <row r="602" spans="1:1" x14ac:dyDescent="0.25">
      <c r="A602">
        <f t="shared" si="10"/>
        <v xml:space="preserve"> </v>
      </c>
    </row>
    <row r="603" spans="1:1" x14ac:dyDescent="0.25">
      <c r="A603">
        <f t="shared" si="10"/>
        <v xml:space="preserve"> </v>
      </c>
    </row>
    <row r="604" spans="1:1" x14ac:dyDescent="0.25">
      <c r="A604">
        <f t="shared" si="10"/>
        <v xml:space="preserve"> </v>
      </c>
    </row>
    <row r="605" spans="1:1" x14ac:dyDescent="0.25">
      <c r="A605">
        <f t="shared" si="10"/>
        <v xml:space="preserve"> </v>
      </c>
    </row>
    <row r="606" spans="1:1" x14ac:dyDescent="0.25">
      <c r="A606">
        <f t="shared" si="10"/>
        <v xml:space="preserve"> </v>
      </c>
    </row>
    <row r="607" spans="1:1" x14ac:dyDescent="0.25">
      <c r="A607">
        <f t="shared" si="10"/>
        <v xml:space="preserve"> </v>
      </c>
    </row>
    <row r="608" spans="1:1" x14ac:dyDescent="0.25">
      <c r="A608">
        <f t="shared" si="10"/>
        <v xml:space="preserve"> </v>
      </c>
    </row>
    <row r="609" spans="1:1" x14ac:dyDescent="0.25">
      <c r="A609">
        <f t="shared" si="10"/>
        <v xml:space="preserve"> </v>
      </c>
    </row>
    <row r="610" spans="1:1" x14ac:dyDescent="0.25">
      <c r="A610">
        <f t="shared" si="10"/>
        <v xml:space="preserve"> </v>
      </c>
    </row>
    <row r="611" spans="1:1" x14ac:dyDescent="0.25">
      <c r="A611">
        <f t="shared" si="10"/>
        <v xml:space="preserve"> </v>
      </c>
    </row>
    <row r="612" spans="1:1" x14ac:dyDescent="0.25">
      <c r="A612">
        <f t="shared" si="10"/>
        <v xml:space="preserve"> </v>
      </c>
    </row>
    <row r="613" spans="1:1" x14ac:dyDescent="0.25">
      <c r="A613">
        <f t="shared" si="10"/>
        <v xml:space="preserve"> </v>
      </c>
    </row>
    <row r="614" spans="1:1" x14ac:dyDescent="0.25">
      <c r="A614">
        <f t="shared" si="10"/>
        <v xml:space="preserve"> </v>
      </c>
    </row>
    <row r="615" spans="1:1" x14ac:dyDescent="0.25">
      <c r="A615">
        <f t="shared" si="10"/>
        <v xml:space="preserve"> </v>
      </c>
    </row>
    <row r="616" spans="1:1" x14ac:dyDescent="0.25">
      <c r="A616">
        <f t="shared" si="10"/>
        <v xml:space="preserve"> </v>
      </c>
    </row>
    <row r="617" spans="1:1" x14ac:dyDescent="0.25">
      <c r="A617">
        <f t="shared" si="10"/>
        <v xml:space="preserve"> </v>
      </c>
    </row>
    <row r="618" spans="1:1" x14ac:dyDescent="0.25">
      <c r="A618">
        <f t="shared" si="10"/>
        <v xml:space="preserve"> </v>
      </c>
    </row>
    <row r="619" spans="1:1" x14ac:dyDescent="0.25">
      <c r="A619">
        <f t="shared" si="10"/>
        <v xml:space="preserve"> </v>
      </c>
    </row>
    <row r="620" spans="1:1" x14ac:dyDescent="0.25">
      <c r="A620">
        <f t="shared" si="10"/>
        <v xml:space="preserve"> </v>
      </c>
    </row>
    <row r="621" spans="1:1" x14ac:dyDescent="0.25">
      <c r="A621">
        <f t="shared" si="10"/>
        <v xml:space="preserve"> </v>
      </c>
    </row>
    <row r="622" spans="1:1" x14ac:dyDescent="0.25">
      <c r="A622">
        <f t="shared" si="10"/>
        <v xml:space="preserve"> </v>
      </c>
    </row>
    <row r="623" spans="1:1" x14ac:dyDescent="0.25">
      <c r="A623">
        <f t="shared" si="10"/>
        <v xml:space="preserve"> </v>
      </c>
    </row>
    <row r="624" spans="1:1" x14ac:dyDescent="0.25">
      <c r="A624">
        <f t="shared" si="10"/>
        <v xml:space="preserve"> </v>
      </c>
    </row>
    <row r="625" spans="1:1" x14ac:dyDescent="0.25">
      <c r="A625">
        <f t="shared" si="10"/>
        <v xml:space="preserve"> </v>
      </c>
    </row>
    <row r="626" spans="1:1" x14ac:dyDescent="0.25">
      <c r="A626">
        <f t="shared" si="10"/>
        <v xml:space="preserve"> </v>
      </c>
    </row>
    <row r="627" spans="1:1" x14ac:dyDescent="0.25">
      <c r="A627">
        <f t="shared" si="10"/>
        <v xml:space="preserve"> </v>
      </c>
    </row>
    <row r="628" spans="1:1" x14ac:dyDescent="0.25">
      <c r="A628">
        <f t="shared" si="10"/>
        <v xml:space="preserve"> </v>
      </c>
    </row>
    <row r="629" spans="1:1" x14ac:dyDescent="0.25">
      <c r="A629">
        <f t="shared" si="10"/>
        <v xml:space="preserve"> </v>
      </c>
    </row>
    <row r="630" spans="1:1" x14ac:dyDescent="0.25">
      <c r="A630">
        <f t="shared" si="10"/>
        <v xml:space="preserve"> </v>
      </c>
    </row>
    <row r="631" spans="1:1" x14ac:dyDescent="0.25">
      <c r="A631">
        <f t="shared" si="10"/>
        <v xml:space="preserve"> </v>
      </c>
    </row>
    <row r="632" spans="1:1" x14ac:dyDescent="0.25">
      <c r="A632">
        <f t="shared" si="10"/>
        <v xml:space="preserve"> </v>
      </c>
    </row>
    <row r="633" spans="1:1" x14ac:dyDescent="0.25">
      <c r="A633">
        <f t="shared" si="10"/>
        <v xml:space="preserve"> </v>
      </c>
    </row>
    <row r="634" spans="1:1" x14ac:dyDescent="0.25">
      <c r="A634">
        <f t="shared" si="10"/>
        <v xml:space="preserve"> </v>
      </c>
    </row>
    <row r="635" spans="1:1" x14ac:dyDescent="0.25">
      <c r="A635">
        <f t="shared" si="10"/>
        <v xml:space="preserve"> </v>
      </c>
    </row>
    <row r="636" spans="1:1" x14ac:dyDescent="0.25">
      <c r="A636">
        <f t="shared" si="10"/>
        <v xml:space="preserve"> </v>
      </c>
    </row>
    <row r="637" spans="1:1" x14ac:dyDescent="0.25">
      <c r="A637">
        <f t="shared" si="10"/>
        <v xml:space="preserve"> </v>
      </c>
    </row>
    <row r="638" spans="1:1" x14ac:dyDescent="0.25">
      <c r="A638">
        <f t="shared" si="10"/>
        <v xml:space="preserve"> </v>
      </c>
    </row>
    <row r="639" spans="1:1" x14ac:dyDescent="0.25">
      <c r="A639">
        <f t="shared" si="10"/>
        <v xml:space="preserve"> </v>
      </c>
    </row>
    <row r="640" spans="1:1" x14ac:dyDescent="0.25">
      <c r="A640">
        <f t="shared" si="10"/>
        <v xml:space="preserve"> </v>
      </c>
    </row>
    <row r="641" spans="1:1" x14ac:dyDescent="0.25">
      <c r="A641">
        <f t="shared" si="10"/>
        <v xml:space="preserve"> </v>
      </c>
    </row>
    <row r="642" spans="1:1" x14ac:dyDescent="0.25">
      <c r="A642">
        <f t="shared" si="10"/>
        <v xml:space="preserve"> </v>
      </c>
    </row>
    <row r="643" spans="1:1" x14ac:dyDescent="0.25">
      <c r="A643">
        <f t="shared" ref="A643:A706" si="11">CONCATENATE(C643," ",H643)</f>
        <v xml:space="preserve"> </v>
      </c>
    </row>
    <row r="644" spans="1:1" x14ac:dyDescent="0.25">
      <c r="A644">
        <f t="shared" si="11"/>
        <v xml:space="preserve"> </v>
      </c>
    </row>
    <row r="645" spans="1:1" x14ac:dyDescent="0.25">
      <c r="A645">
        <f t="shared" si="11"/>
        <v xml:space="preserve"> </v>
      </c>
    </row>
    <row r="646" spans="1:1" x14ac:dyDescent="0.25">
      <c r="A646">
        <f t="shared" si="11"/>
        <v xml:space="preserve"> </v>
      </c>
    </row>
    <row r="647" spans="1:1" x14ac:dyDescent="0.25">
      <c r="A647">
        <f t="shared" si="11"/>
        <v xml:space="preserve"> </v>
      </c>
    </row>
    <row r="648" spans="1:1" x14ac:dyDescent="0.25">
      <c r="A648">
        <f t="shared" si="11"/>
        <v xml:space="preserve"> </v>
      </c>
    </row>
    <row r="649" spans="1:1" x14ac:dyDescent="0.25">
      <c r="A649">
        <f t="shared" si="11"/>
        <v xml:space="preserve"> </v>
      </c>
    </row>
    <row r="650" spans="1:1" x14ac:dyDescent="0.25">
      <c r="A650">
        <f t="shared" si="11"/>
        <v xml:space="preserve"> </v>
      </c>
    </row>
    <row r="651" spans="1:1" x14ac:dyDescent="0.25">
      <c r="A651">
        <f t="shared" si="11"/>
        <v xml:space="preserve"> </v>
      </c>
    </row>
    <row r="652" spans="1:1" x14ac:dyDescent="0.25">
      <c r="A652">
        <f t="shared" si="11"/>
        <v xml:space="preserve"> </v>
      </c>
    </row>
    <row r="653" spans="1:1" x14ac:dyDescent="0.25">
      <c r="A653">
        <f t="shared" si="11"/>
        <v xml:space="preserve"> </v>
      </c>
    </row>
    <row r="654" spans="1:1" x14ac:dyDescent="0.25">
      <c r="A654">
        <f t="shared" si="11"/>
        <v xml:space="preserve"> </v>
      </c>
    </row>
    <row r="655" spans="1:1" x14ac:dyDescent="0.25">
      <c r="A655">
        <f t="shared" si="11"/>
        <v xml:space="preserve"> </v>
      </c>
    </row>
    <row r="656" spans="1:1" x14ac:dyDescent="0.25">
      <c r="A656">
        <f t="shared" si="11"/>
        <v xml:space="preserve"> </v>
      </c>
    </row>
    <row r="657" spans="1:1" x14ac:dyDescent="0.25">
      <c r="A657">
        <f t="shared" si="11"/>
        <v xml:space="preserve"> </v>
      </c>
    </row>
    <row r="658" spans="1:1" x14ac:dyDescent="0.25">
      <c r="A658">
        <f t="shared" si="11"/>
        <v xml:space="preserve"> </v>
      </c>
    </row>
    <row r="659" spans="1:1" x14ac:dyDescent="0.25">
      <c r="A659">
        <f t="shared" si="11"/>
        <v xml:space="preserve"> </v>
      </c>
    </row>
    <row r="660" spans="1:1" x14ac:dyDescent="0.25">
      <c r="A660">
        <f t="shared" si="11"/>
        <v xml:space="preserve"> </v>
      </c>
    </row>
    <row r="661" spans="1:1" x14ac:dyDescent="0.25">
      <c r="A661">
        <f t="shared" si="11"/>
        <v xml:space="preserve"> </v>
      </c>
    </row>
    <row r="662" spans="1:1" x14ac:dyDescent="0.25">
      <c r="A662">
        <f t="shared" si="11"/>
        <v xml:space="preserve"> </v>
      </c>
    </row>
    <row r="663" spans="1:1" x14ac:dyDescent="0.25">
      <c r="A663">
        <f t="shared" si="11"/>
        <v xml:space="preserve"> </v>
      </c>
    </row>
    <row r="664" spans="1:1" x14ac:dyDescent="0.25">
      <c r="A664">
        <f t="shared" si="11"/>
        <v xml:space="preserve"> </v>
      </c>
    </row>
    <row r="665" spans="1:1" x14ac:dyDescent="0.25">
      <c r="A665">
        <f t="shared" si="11"/>
        <v xml:space="preserve"> </v>
      </c>
    </row>
    <row r="666" spans="1:1" x14ac:dyDescent="0.25">
      <c r="A666">
        <f t="shared" si="11"/>
        <v xml:space="preserve"> </v>
      </c>
    </row>
    <row r="667" spans="1:1" x14ac:dyDescent="0.25">
      <c r="A667">
        <f t="shared" si="11"/>
        <v xml:space="preserve"> </v>
      </c>
    </row>
    <row r="668" spans="1:1" x14ac:dyDescent="0.25">
      <c r="A668">
        <f t="shared" si="11"/>
        <v xml:space="preserve"> </v>
      </c>
    </row>
    <row r="669" spans="1:1" x14ac:dyDescent="0.25">
      <c r="A669">
        <f t="shared" si="11"/>
        <v xml:space="preserve"> </v>
      </c>
    </row>
    <row r="670" spans="1:1" x14ac:dyDescent="0.25">
      <c r="A670">
        <f t="shared" si="11"/>
        <v xml:space="preserve"> </v>
      </c>
    </row>
    <row r="671" spans="1:1" x14ac:dyDescent="0.25">
      <c r="A671">
        <f t="shared" si="11"/>
        <v xml:space="preserve"> </v>
      </c>
    </row>
    <row r="672" spans="1:1" x14ac:dyDescent="0.25">
      <c r="A672">
        <f t="shared" si="11"/>
        <v xml:space="preserve"> </v>
      </c>
    </row>
    <row r="673" spans="1:1" x14ac:dyDescent="0.25">
      <c r="A673">
        <f t="shared" si="11"/>
        <v xml:space="preserve"> </v>
      </c>
    </row>
    <row r="674" spans="1:1" x14ac:dyDescent="0.25">
      <c r="A674">
        <f t="shared" si="11"/>
        <v xml:space="preserve"> </v>
      </c>
    </row>
    <row r="675" spans="1:1" x14ac:dyDescent="0.25">
      <c r="A675">
        <f t="shared" si="11"/>
        <v xml:space="preserve"> </v>
      </c>
    </row>
    <row r="676" spans="1:1" x14ac:dyDescent="0.25">
      <c r="A676">
        <f t="shared" si="11"/>
        <v xml:space="preserve"> </v>
      </c>
    </row>
    <row r="677" spans="1:1" x14ac:dyDescent="0.25">
      <c r="A677">
        <f t="shared" si="11"/>
        <v xml:space="preserve"> </v>
      </c>
    </row>
    <row r="678" spans="1:1" x14ac:dyDescent="0.25">
      <c r="A678">
        <f t="shared" si="11"/>
        <v xml:space="preserve"> </v>
      </c>
    </row>
    <row r="679" spans="1:1" x14ac:dyDescent="0.25">
      <c r="A679">
        <f t="shared" si="11"/>
        <v xml:space="preserve"> </v>
      </c>
    </row>
    <row r="680" spans="1:1" x14ac:dyDescent="0.25">
      <c r="A680">
        <f t="shared" si="11"/>
        <v xml:space="preserve"> </v>
      </c>
    </row>
    <row r="681" spans="1:1" x14ac:dyDescent="0.25">
      <c r="A681">
        <f t="shared" si="11"/>
        <v xml:space="preserve"> </v>
      </c>
    </row>
    <row r="682" spans="1:1" x14ac:dyDescent="0.25">
      <c r="A682">
        <f t="shared" si="11"/>
        <v xml:space="preserve"> </v>
      </c>
    </row>
    <row r="683" spans="1:1" x14ac:dyDescent="0.25">
      <c r="A683">
        <f t="shared" si="11"/>
        <v xml:space="preserve"> </v>
      </c>
    </row>
    <row r="684" spans="1:1" x14ac:dyDescent="0.25">
      <c r="A684">
        <f t="shared" si="11"/>
        <v xml:space="preserve"> </v>
      </c>
    </row>
    <row r="685" spans="1:1" x14ac:dyDescent="0.25">
      <c r="A685">
        <f t="shared" si="11"/>
        <v xml:space="preserve"> </v>
      </c>
    </row>
    <row r="686" spans="1:1" x14ac:dyDescent="0.25">
      <c r="A686">
        <f t="shared" si="11"/>
        <v xml:space="preserve"> </v>
      </c>
    </row>
    <row r="687" spans="1:1" x14ac:dyDescent="0.25">
      <c r="A687">
        <f t="shared" si="11"/>
        <v xml:space="preserve"> </v>
      </c>
    </row>
    <row r="688" spans="1:1" x14ac:dyDescent="0.25">
      <c r="A688">
        <f t="shared" si="11"/>
        <v xml:space="preserve"> </v>
      </c>
    </row>
    <row r="689" spans="1:1" x14ac:dyDescent="0.25">
      <c r="A689">
        <f t="shared" si="11"/>
        <v xml:space="preserve"> </v>
      </c>
    </row>
    <row r="690" spans="1:1" x14ac:dyDescent="0.25">
      <c r="A690">
        <f t="shared" si="11"/>
        <v xml:space="preserve"> </v>
      </c>
    </row>
    <row r="691" spans="1:1" x14ac:dyDescent="0.25">
      <c r="A691">
        <f t="shared" si="11"/>
        <v xml:space="preserve"> </v>
      </c>
    </row>
    <row r="692" spans="1:1" x14ac:dyDescent="0.25">
      <c r="A692">
        <f t="shared" si="11"/>
        <v xml:space="preserve"> </v>
      </c>
    </row>
    <row r="693" spans="1:1" x14ac:dyDescent="0.25">
      <c r="A693">
        <f t="shared" si="11"/>
        <v xml:space="preserve"> </v>
      </c>
    </row>
    <row r="694" spans="1:1" x14ac:dyDescent="0.25">
      <c r="A694">
        <f t="shared" si="11"/>
        <v xml:space="preserve"> </v>
      </c>
    </row>
    <row r="695" spans="1:1" x14ac:dyDescent="0.25">
      <c r="A695">
        <f t="shared" si="11"/>
        <v xml:space="preserve"> </v>
      </c>
    </row>
    <row r="696" spans="1:1" x14ac:dyDescent="0.25">
      <c r="A696">
        <f t="shared" si="11"/>
        <v xml:space="preserve"> </v>
      </c>
    </row>
    <row r="697" spans="1:1" x14ac:dyDescent="0.25">
      <c r="A697">
        <f t="shared" si="11"/>
        <v xml:space="preserve"> </v>
      </c>
    </row>
    <row r="698" spans="1:1" x14ac:dyDescent="0.25">
      <c r="A698">
        <f t="shared" si="11"/>
        <v xml:space="preserve"> </v>
      </c>
    </row>
    <row r="699" spans="1:1" x14ac:dyDescent="0.25">
      <c r="A699">
        <f t="shared" si="11"/>
        <v xml:space="preserve"> </v>
      </c>
    </row>
    <row r="700" spans="1:1" x14ac:dyDescent="0.25">
      <c r="A700">
        <f t="shared" si="11"/>
        <v xml:space="preserve"> </v>
      </c>
    </row>
    <row r="701" spans="1:1" x14ac:dyDescent="0.25">
      <c r="A701">
        <f t="shared" si="11"/>
        <v xml:space="preserve"> </v>
      </c>
    </row>
    <row r="702" spans="1:1" x14ac:dyDescent="0.25">
      <c r="A702">
        <f t="shared" si="11"/>
        <v xml:space="preserve"> </v>
      </c>
    </row>
    <row r="703" spans="1:1" x14ac:dyDescent="0.25">
      <c r="A703">
        <f t="shared" si="11"/>
        <v xml:space="preserve"> </v>
      </c>
    </row>
    <row r="704" spans="1:1" x14ac:dyDescent="0.25">
      <c r="A704">
        <f t="shared" si="11"/>
        <v xml:space="preserve"> </v>
      </c>
    </row>
    <row r="705" spans="1:1" x14ac:dyDescent="0.25">
      <c r="A705">
        <f t="shared" si="11"/>
        <v xml:space="preserve"> </v>
      </c>
    </row>
    <row r="706" spans="1:1" x14ac:dyDescent="0.25">
      <c r="A706">
        <f t="shared" si="11"/>
        <v xml:space="preserve"> </v>
      </c>
    </row>
    <row r="707" spans="1:1" x14ac:dyDescent="0.25">
      <c r="A707">
        <f t="shared" ref="A707:A770" si="12">CONCATENATE(C707," ",H707)</f>
        <v xml:space="preserve"> </v>
      </c>
    </row>
    <row r="708" spans="1:1" x14ac:dyDescent="0.25">
      <c r="A708">
        <f t="shared" si="12"/>
        <v xml:space="preserve"> </v>
      </c>
    </row>
    <row r="709" spans="1:1" x14ac:dyDescent="0.25">
      <c r="A709">
        <f t="shared" si="12"/>
        <v xml:space="preserve"> </v>
      </c>
    </row>
    <row r="710" spans="1:1" x14ac:dyDescent="0.25">
      <c r="A710">
        <f t="shared" si="12"/>
        <v xml:space="preserve"> </v>
      </c>
    </row>
    <row r="711" spans="1:1" x14ac:dyDescent="0.25">
      <c r="A711">
        <f t="shared" si="12"/>
        <v xml:space="preserve"> </v>
      </c>
    </row>
    <row r="712" spans="1:1" x14ac:dyDescent="0.25">
      <c r="A712">
        <f t="shared" si="12"/>
        <v xml:space="preserve"> </v>
      </c>
    </row>
    <row r="713" spans="1:1" x14ac:dyDescent="0.25">
      <c r="A713">
        <f t="shared" si="12"/>
        <v xml:space="preserve"> </v>
      </c>
    </row>
    <row r="714" spans="1:1" x14ac:dyDescent="0.25">
      <c r="A714">
        <f t="shared" si="12"/>
        <v xml:space="preserve"> </v>
      </c>
    </row>
    <row r="715" spans="1:1" x14ac:dyDescent="0.25">
      <c r="A715">
        <f t="shared" si="12"/>
        <v xml:space="preserve"> </v>
      </c>
    </row>
    <row r="716" spans="1:1" x14ac:dyDescent="0.25">
      <c r="A716">
        <f t="shared" si="12"/>
        <v xml:space="preserve"> </v>
      </c>
    </row>
    <row r="717" spans="1:1" x14ac:dyDescent="0.25">
      <c r="A717">
        <f t="shared" si="12"/>
        <v xml:space="preserve"> </v>
      </c>
    </row>
    <row r="718" spans="1:1" x14ac:dyDescent="0.25">
      <c r="A718">
        <f t="shared" si="12"/>
        <v xml:space="preserve"> </v>
      </c>
    </row>
    <row r="719" spans="1:1" x14ac:dyDescent="0.25">
      <c r="A719">
        <f t="shared" si="12"/>
        <v xml:space="preserve"> </v>
      </c>
    </row>
    <row r="720" spans="1:1" x14ac:dyDescent="0.25">
      <c r="A720">
        <f t="shared" si="12"/>
        <v xml:space="preserve"> </v>
      </c>
    </row>
    <row r="721" spans="1:1" x14ac:dyDescent="0.25">
      <c r="A721">
        <f t="shared" si="12"/>
        <v xml:space="preserve"> </v>
      </c>
    </row>
    <row r="722" spans="1:1" x14ac:dyDescent="0.25">
      <c r="A722">
        <f t="shared" si="12"/>
        <v xml:space="preserve"> </v>
      </c>
    </row>
    <row r="723" spans="1:1" x14ac:dyDescent="0.25">
      <c r="A723">
        <f t="shared" si="12"/>
        <v xml:space="preserve"> </v>
      </c>
    </row>
    <row r="724" spans="1:1" x14ac:dyDescent="0.25">
      <c r="A724">
        <f t="shared" si="12"/>
        <v xml:space="preserve"> </v>
      </c>
    </row>
    <row r="725" spans="1:1" x14ac:dyDescent="0.25">
      <c r="A725">
        <f t="shared" si="12"/>
        <v xml:space="preserve"> </v>
      </c>
    </row>
    <row r="726" spans="1:1" x14ac:dyDescent="0.25">
      <c r="A726">
        <f t="shared" si="12"/>
        <v xml:space="preserve"> </v>
      </c>
    </row>
    <row r="727" spans="1:1" x14ac:dyDescent="0.25">
      <c r="A727">
        <f t="shared" si="12"/>
        <v xml:space="preserve"> </v>
      </c>
    </row>
    <row r="728" spans="1:1" x14ac:dyDescent="0.25">
      <c r="A728">
        <f t="shared" si="12"/>
        <v xml:space="preserve"> </v>
      </c>
    </row>
    <row r="729" spans="1:1" x14ac:dyDescent="0.25">
      <c r="A729">
        <f t="shared" si="12"/>
        <v xml:space="preserve"> </v>
      </c>
    </row>
    <row r="730" spans="1:1" x14ac:dyDescent="0.25">
      <c r="A730">
        <f t="shared" si="12"/>
        <v xml:space="preserve"> </v>
      </c>
    </row>
    <row r="731" spans="1:1" x14ac:dyDescent="0.25">
      <c r="A731">
        <f t="shared" si="12"/>
        <v xml:space="preserve"> </v>
      </c>
    </row>
    <row r="732" spans="1:1" x14ac:dyDescent="0.25">
      <c r="A732">
        <f t="shared" si="12"/>
        <v xml:space="preserve"> </v>
      </c>
    </row>
    <row r="733" spans="1:1" x14ac:dyDescent="0.25">
      <c r="A733">
        <f t="shared" si="12"/>
        <v xml:space="preserve"> </v>
      </c>
    </row>
    <row r="734" spans="1:1" x14ac:dyDescent="0.25">
      <c r="A734">
        <f t="shared" si="12"/>
        <v xml:space="preserve"> </v>
      </c>
    </row>
    <row r="735" spans="1:1" x14ac:dyDescent="0.25">
      <c r="A735">
        <f t="shared" si="12"/>
        <v xml:space="preserve"> </v>
      </c>
    </row>
    <row r="736" spans="1:1" x14ac:dyDescent="0.25">
      <c r="A736">
        <f t="shared" si="12"/>
        <v xml:space="preserve"> </v>
      </c>
    </row>
    <row r="737" spans="1:1" x14ac:dyDescent="0.25">
      <c r="A737">
        <f t="shared" si="12"/>
        <v xml:space="preserve"> </v>
      </c>
    </row>
    <row r="738" spans="1:1" x14ac:dyDescent="0.25">
      <c r="A738">
        <f t="shared" si="12"/>
        <v xml:space="preserve"> </v>
      </c>
    </row>
    <row r="739" spans="1:1" x14ac:dyDescent="0.25">
      <c r="A739">
        <f t="shared" si="12"/>
        <v xml:space="preserve"> </v>
      </c>
    </row>
    <row r="740" spans="1:1" x14ac:dyDescent="0.25">
      <c r="A740">
        <f t="shared" si="12"/>
        <v xml:space="preserve"> </v>
      </c>
    </row>
    <row r="741" spans="1:1" x14ac:dyDescent="0.25">
      <c r="A741">
        <f t="shared" si="12"/>
        <v xml:space="preserve"> </v>
      </c>
    </row>
    <row r="742" spans="1:1" x14ac:dyDescent="0.25">
      <c r="A742">
        <f t="shared" si="12"/>
        <v xml:space="preserve"> </v>
      </c>
    </row>
    <row r="743" spans="1:1" x14ac:dyDescent="0.25">
      <c r="A743">
        <f t="shared" si="12"/>
        <v xml:space="preserve"> </v>
      </c>
    </row>
    <row r="744" spans="1:1" x14ac:dyDescent="0.25">
      <c r="A744">
        <f t="shared" si="12"/>
        <v xml:space="preserve"> </v>
      </c>
    </row>
    <row r="745" spans="1:1" x14ac:dyDescent="0.25">
      <c r="A745">
        <f t="shared" si="12"/>
        <v xml:space="preserve"> </v>
      </c>
    </row>
    <row r="746" spans="1:1" x14ac:dyDescent="0.25">
      <c r="A746">
        <f t="shared" si="12"/>
        <v xml:space="preserve"> </v>
      </c>
    </row>
    <row r="747" spans="1:1" x14ac:dyDescent="0.25">
      <c r="A747">
        <f t="shared" si="12"/>
        <v xml:space="preserve"> </v>
      </c>
    </row>
    <row r="748" spans="1:1" x14ac:dyDescent="0.25">
      <c r="A748">
        <f t="shared" si="12"/>
        <v xml:space="preserve"> </v>
      </c>
    </row>
    <row r="749" spans="1:1" x14ac:dyDescent="0.25">
      <c r="A749">
        <f t="shared" si="12"/>
        <v xml:space="preserve"> </v>
      </c>
    </row>
    <row r="750" spans="1:1" x14ac:dyDescent="0.25">
      <c r="A750">
        <f t="shared" si="12"/>
        <v xml:space="preserve"> </v>
      </c>
    </row>
    <row r="751" spans="1:1" x14ac:dyDescent="0.25">
      <c r="A751">
        <f t="shared" si="12"/>
        <v xml:space="preserve"> </v>
      </c>
    </row>
    <row r="752" spans="1:1" x14ac:dyDescent="0.25">
      <c r="A752">
        <f t="shared" si="12"/>
        <v xml:space="preserve"> </v>
      </c>
    </row>
    <row r="753" spans="1:1" x14ac:dyDescent="0.25">
      <c r="A753">
        <f t="shared" si="12"/>
        <v xml:space="preserve"> </v>
      </c>
    </row>
    <row r="754" spans="1:1" x14ac:dyDescent="0.25">
      <c r="A754">
        <f t="shared" si="12"/>
        <v xml:space="preserve"> </v>
      </c>
    </row>
    <row r="755" spans="1:1" x14ac:dyDescent="0.25">
      <c r="A755">
        <f t="shared" si="12"/>
        <v xml:space="preserve"> </v>
      </c>
    </row>
    <row r="756" spans="1:1" x14ac:dyDescent="0.25">
      <c r="A756">
        <f t="shared" si="12"/>
        <v xml:space="preserve"> </v>
      </c>
    </row>
    <row r="757" spans="1:1" x14ac:dyDescent="0.25">
      <c r="A757">
        <f t="shared" si="12"/>
        <v xml:space="preserve"> </v>
      </c>
    </row>
    <row r="758" spans="1:1" x14ac:dyDescent="0.25">
      <c r="A758">
        <f t="shared" si="12"/>
        <v xml:space="preserve"> </v>
      </c>
    </row>
    <row r="759" spans="1:1" x14ac:dyDescent="0.25">
      <c r="A759">
        <f t="shared" si="12"/>
        <v xml:space="preserve"> </v>
      </c>
    </row>
    <row r="760" spans="1:1" x14ac:dyDescent="0.25">
      <c r="A760">
        <f t="shared" si="12"/>
        <v xml:space="preserve"> </v>
      </c>
    </row>
    <row r="761" spans="1:1" x14ac:dyDescent="0.25">
      <c r="A761">
        <f t="shared" si="12"/>
        <v xml:space="preserve"> </v>
      </c>
    </row>
    <row r="762" spans="1:1" x14ac:dyDescent="0.25">
      <c r="A762">
        <f t="shared" si="12"/>
        <v xml:space="preserve"> </v>
      </c>
    </row>
    <row r="763" spans="1:1" x14ac:dyDescent="0.25">
      <c r="A763">
        <f t="shared" si="12"/>
        <v xml:space="preserve"> </v>
      </c>
    </row>
    <row r="764" spans="1:1" x14ac:dyDescent="0.25">
      <c r="A764">
        <f t="shared" si="12"/>
        <v xml:space="preserve"> </v>
      </c>
    </row>
    <row r="765" spans="1:1" x14ac:dyDescent="0.25">
      <c r="A765">
        <f t="shared" si="12"/>
        <v xml:space="preserve"> </v>
      </c>
    </row>
    <row r="766" spans="1:1" x14ac:dyDescent="0.25">
      <c r="A766">
        <f t="shared" si="12"/>
        <v xml:space="preserve"> </v>
      </c>
    </row>
    <row r="767" spans="1:1" x14ac:dyDescent="0.25">
      <c r="A767">
        <f t="shared" si="12"/>
        <v xml:space="preserve"> </v>
      </c>
    </row>
    <row r="768" spans="1:1" x14ac:dyDescent="0.25">
      <c r="A768">
        <f t="shared" si="12"/>
        <v xml:space="preserve"> </v>
      </c>
    </row>
    <row r="769" spans="1:1" x14ac:dyDescent="0.25">
      <c r="A769">
        <f t="shared" si="12"/>
        <v xml:space="preserve"> </v>
      </c>
    </row>
    <row r="770" spans="1:1" x14ac:dyDescent="0.25">
      <c r="A770">
        <f t="shared" si="12"/>
        <v xml:space="preserve"> </v>
      </c>
    </row>
    <row r="771" spans="1:1" x14ac:dyDescent="0.25">
      <c r="A771">
        <f t="shared" ref="A771:A834" si="13">CONCATENATE(C771," ",H771)</f>
        <v xml:space="preserve"> </v>
      </c>
    </row>
    <row r="772" spans="1:1" x14ac:dyDescent="0.25">
      <c r="A772">
        <f t="shared" si="13"/>
        <v xml:space="preserve"> </v>
      </c>
    </row>
    <row r="773" spans="1:1" x14ac:dyDescent="0.25">
      <c r="A773">
        <f t="shared" si="13"/>
        <v xml:space="preserve"> </v>
      </c>
    </row>
    <row r="774" spans="1:1" x14ac:dyDescent="0.25">
      <c r="A774">
        <f t="shared" si="13"/>
        <v xml:space="preserve"> </v>
      </c>
    </row>
    <row r="775" spans="1:1" x14ac:dyDescent="0.25">
      <c r="A775">
        <f t="shared" si="13"/>
        <v xml:space="preserve"> </v>
      </c>
    </row>
    <row r="776" spans="1:1" x14ac:dyDescent="0.25">
      <c r="A776">
        <f t="shared" si="13"/>
        <v xml:space="preserve"> </v>
      </c>
    </row>
    <row r="777" spans="1:1" x14ac:dyDescent="0.25">
      <c r="A777">
        <f t="shared" si="13"/>
        <v xml:space="preserve"> </v>
      </c>
    </row>
    <row r="778" spans="1:1" x14ac:dyDescent="0.25">
      <c r="A778">
        <f t="shared" si="13"/>
        <v xml:space="preserve"> </v>
      </c>
    </row>
    <row r="779" spans="1:1" x14ac:dyDescent="0.25">
      <c r="A779">
        <f t="shared" si="13"/>
        <v xml:space="preserve"> </v>
      </c>
    </row>
    <row r="780" spans="1:1" x14ac:dyDescent="0.25">
      <c r="A780">
        <f t="shared" si="13"/>
        <v xml:space="preserve"> </v>
      </c>
    </row>
    <row r="781" spans="1:1" x14ac:dyDescent="0.25">
      <c r="A781">
        <f t="shared" si="13"/>
        <v xml:space="preserve"> </v>
      </c>
    </row>
    <row r="782" spans="1:1" x14ac:dyDescent="0.25">
      <c r="A782">
        <f t="shared" si="13"/>
        <v xml:space="preserve"> </v>
      </c>
    </row>
    <row r="783" spans="1:1" x14ac:dyDescent="0.25">
      <c r="A783">
        <f t="shared" si="13"/>
        <v xml:space="preserve"> </v>
      </c>
    </row>
    <row r="784" spans="1:1" x14ac:dyDescent="0.25">
      <c r="A784">
        <f t="shared" si="13"/>
        <v xml:space="preserve"> </v>
      </c>
    </row>
    <row r="785" spans="1:1" x14ac:dyDescent="0.25">
      <c r="A785">
        <f t="shared" si="13"/>
        <v xml:space="preserve"> </v>
      </c>
    </row>
    <row r="786" spans="1:1" x14ac:dyDescent="0.25">
      <c r="A786">
        <f t="shared" si="13"/>
        <v xml:space="preserve"> </v>
      </c>
    </row>
    <row r="787" spans="1:1" x14ac:dyDescent="0.25">
      <c r="A787">
        <f t="shared" si="13"/>
        <v xml:space="preserve"> </v>
      </c>
    </row>
    <row r="788" spans="1:1" x14ac:dyDescent="0.25">
      <c r="A788">
        <f t="shared" si="13"/>
        <v xml:space="preserve"> </v>
      </c>
    </row>
    <row r="789" spans="1:1" x14ac:dyDescent="0.25">
      <c r="A789">
        <f t="shared" si="13"/>
        <v xml:space="preserve"> </v>
      </c>
    </row>
    <row r="790" spans="1:1" x14ac:dyDescent="0.25">
      <c r="A790">
        <f t="shared" si="13"/>
        <v xml:space="preserve"> </v>
      </c>
    </row>
    <row r="791" spans="1:1" x14ac:dyDescent="0.25">
      <c r="A791">
        <f t="shared" si="13"/>
        <v xml:space="preserve"> </v>
      </c>
    </row>
    <row r="792" spans="1:1" x14ac:dyDescent="0.25">
      <c r="A792">
        <f t="shared" si="13"/>
        <v xml:space="preserve"> </v>
      </c>
    </row>
    <row r="793" spans="1:1" x14ac:dyDescent="0.25">
      <c r="A793">
        <f t="shared" si="13"/>
        <v xml:space="preserve"> </v>
      </c>
    </row>
    <row r="794" spans="1:1" x14ac:dyDescent="0.25">
      <c r="A794">
        <f t="shared" si="13"/>
        <v xml:space="preserve"> </v>
      </c>
    </row>
    <row r="795" spans="1:1" x14ac:dyDescent="0.25">
      <c r="A795">
        <f t="shared" si="13"/>
        <v xml:space="preserve"> </v>
      </c>
    </row>
    <row r="796" spans="1:1" x14ac:dyDescent="0.25">
      <c r="A796">
        <f t="shared" si="13"/>
        <v xml:space="preserve"> </v>
      </c>
    </row>
    <row r="797" spans="1:1" x14ac:dyDescent="0.25">
      <c r="A797">
        <f t="shared" si="13"/>
        <v xml:space="preserve"> </v>
      </c>
    </row>
    <row r="798" spans="1:1" x14ac:dyDescent="0.25">
      <c r="A798">
        <f t="shared" si="13"/>
        <v xml:space="preserve"> </v>
      </c>
    </row>
    <row r="799" spans="1:1" x14ac:dyDescent="0.25">
      <c r="A799">
        <f t="shared" si="13"/>
        <v xml:space="preserve"> </v>
      </c>
    </row>
    <row r="800" spans="1:1" x14ac:dyDescent="0.25">
      <c r="A800">
        <f t="shared" si="13"/>
        <v xml:space="preserve"> </v>
      </c>
    </row>
    <row r="801" spans="1:1" x14ac:dyDescent="0.25">
      <c r="A801">
        <f t="shared" si="13"/>
        <v xml:space="preserve"> </v>
      </c>
    </row>
    <row r="802" spans="1:1" x14ac:dyDescent="0.25">
      <c r="A802">
        <f t="shared" si="13"/>
        <v xml:space="preserve"> </v>
      </c>
    </row>
    <row r="803" spans="1:1" x14ac:dyDescent="0.25">
      <c r="A803">
        <f t="shared" si="13"/>
        <v xml:space="preserve"> </v>
      </c>
    </row>
    <row r="804" spans="1:1" x14ac:dyDescent="0.25">
      <c r="A804">
        <f t="shared" si="13"/>
        <v xml:space="preserve"> </v>
      </c>
    </row>
    <row r="805" spans="1:1" x14ac:dyDescent="0.25">
      <c r="A805">
        <f t="shared" si="13"/>
        <v xml:space="preserve"> </v>
      </c>
    </row>
    <row r="806" spans="1:1" x14ac:dyDescent="0.25">
      <c r="A806">
        <f t="shared" si="13"/>
        <v xml:space="preserve"> </v>
      </c>
    </row>
    <row r="807" spans="1:1" x14ac:dyDescent="0.25">
      <c r="A807">
        <f t="shared" si="13"/>
        <v xml:space="preserve"> </v>
      </c>
    </row>
    <row r="808" spans="1:1" x14ac:dyDescent="0.25">
      <c r="A808">
        <f t="shared" si="13"/>
        <v xml:space="preserve"> </v>
      </c>
    </row>
    <row r="809" spans="1:1" x14ac:dyDescent="0.25">
      <c r="A809">
        <f t="shared" si="13"/>
        <v xml:space="preserve"> </v>
      </c>
    </row>
    <row r="810" spans="1:1" x14ac:dyDescent="0.25">
      <c r="A810">
        <f t="shared" si="13"/>
        <v xml:space="preserve"> </v>
      </c>
    </row>
    <row r="811" spans="1:1" x14ac:dyDescent="0.25">
      <c r="A811">
        <f t="shared" si="13"/>
        <v xml:space="preserve"> </v>
      </c>
    </row>
    <row r="812" spans="1:1" x14ac:dyDescent="0.25">
      <c r="A812">
        <f t="shared" si="13"/>
        <v xml:space="preserve"> </v>
      </c>
    </row>
    <row r="813" spans="1:1" x14ac:dyDescent="0.25">
      <c r="A813">
        <f t="shared" si="13"/>
        <v xml:space="preserve"> </v>
      </c>
    </row>
    <row r="814" spans="1:1" x14ac:dyDescent="0.25">
      <c r="A814">
        <f t="shared" si="13"/>
        <v xml:space="preserve"> </v>
      </c>
    </row>
    <row r="815" spans="1:1" x14ac:dyDescent="0.25">
      <c r="A815">
        <f t="shared" si="13"/>
        <v xml:space="preserve"> </v>
      </c>
    </row>
    <row r="816" spans="1:1" x14ac:dyDescent="0.25">
      <c r="A816">
        <f t="shared" si="13"/>
        <v xml:space="preserve"> </v>
      </c>
    </row>
    <row r="817" spans="1:1" x14ac:dyDescent="0.25">
      <c r="A817">
        <f t="shared" si="13"/>
        <v xml:space="preserve"> </v>
      </c>
    </row>
    <row r="818" spans="1:1" x14ac:dyDescent="0.25">
      <c r="A818">
        <f t="shared" si="13"/>
        <v xml:space="preserve"> </v>
      </c>
    </row>
    <row r="819" spans="1:1" x14ac:dyDescent="0.25">
      <c r="A819">
        <f t="shared" si="13"/>
        <v xml:space="preserve"> </v>
      </c>
    </row>
    <row r="820" spans="1:1" x14ac:dyDescent="0.25">
      <c r="A820">
        <f t="shared" si="13"/>
        <v xml:space="preserve"> </v>
      </c>
    </row>
    <row r="821" spans="1:1" x14ac:dyDescent="0.25">
      <c r="A821">
        <f t="shared" si="13"/>
        <v xml:space="preserve"> </v>
      </c>
    </row>
    <row r="822" spans="1:1" x14ac:dyDescent="0.25">
      <c r="A822">
        <f t="shared" si="13"/>
        <v xml:space="preserve"> </v>
      </c>
    </row>
    <row r="823" spans="1:1" x14ac:dyDescent="0.25">
      <c r="A823">
        <f t="shared" si="13"/>
        <v xml:space="preserve"> </v>
      </c>
    </row>
    <row r="824" spans="1:1" x14ac:dyDescent="0.25">
      <c r="A824">
        <f t="shared" si="13"/>
        <v xml:space="preserve"> </v>
      </c>
    </row>
    <row r="825" spans="1:1" x14ac:dyDescent="0.25">
      <c r="A825">
        <f t="shared" si="13"/>
        <v xml:space="preserve"> </v>
      </c>
    </row>
    <row r="826" spans="1:1" x14ac:dyDescent="0.25">
      <c r="A826">
        <f t="shared" si="13"/>
        <v xml:space="preserve"> </v>
      </c>
    </row>
    <row r="827" spans="1:1" x14ac:dyDescent="0.25">
      <c r="A827">
        <f t="shared" si="13"/>
        <v xml:space="preserve"> </v>
      </c>
    </row>
    <row r="828" spans="1:1" x14ac:dyDescent="0.25">
      <c r="A828">
        <f t="shared" si="13"/>
        <v xml:space="preserve"> </v>
      </c>
    </row>
    <row r="829" spans="1:1" x14ac:dyDescent="0.25">
      <c r="A829">
        <f t="shared" si="13"/>
        <v xml:space="preserve"> </v>
      </c>
    </row>
    <row r="830" spans="1:1" x14ac:dyDescent="0.25">
      <c r="A830">
        <f t="shared" si="13"/>
        <v xml:space="preserve"> </v>
      </c>
    </row>
    <row r="831" spans="1:1" x14ac:dyDescent="0.25">
      <c r="A831">
        <f t="shared" si="13"/>
        <v xml:space="preserve"> </v>
      </c>
    </row>
    <row r="832" spans="1:1" x14ac:dyDescent="0.25">
      <c r="A832">
        <f t="shared" si="13"/>
        <v xml:space="preserve"> </v>
      </c>
    </row>
    <row r="833" spans="1:1" x14ac:dyDescent="0.25">
      <c r="A833">
        <f t="shared" si="13"/>
        <v xml:space="preserve"> </v>
      </c>
    </row>
    <row r="834" spans="1:1" x14ac:dyDescent="0.25">
      <c r="A834">
        <f t="shared" si="13"/>
        <v xml:space="preserve"> </v>
      </c>
    </row>
    <row r="835" spans="1:1" x14ac:dyDescent="0.25">
      <c r="A835">
        <f t="shared" ref="A835:A898" si="14">CONCATENATE(C835," ",H835)</f>
        <v xml:space="preserve"> </v>
      </c>
    </row>
    <row r="836" spans="1:1" x14ac:dyDescent="0.25">
      <c r="A836">
        <f t="shared" si="14"/>
        <v xml:space="preserve"> </v>
      </c>
    </row>
    <row r="837" spans="1:1" x14ac:dyDescent="0.25">
      <c r="A837">
        <f t="shared" si="14"/>
        <v xml:space="preserve"> </v>
      </c>
    </row>
    <row r="838" spans="1:1" x14ac:dyDescent="0.25">
      <c r="A838">
        <f t="shared" si="14"/>
        <v xml:space="preserve"> </v>
      </c>
    </row>
    <row r="839" spans="1:1" x14ac:dyDescent="0.25">
      <c r="A839">
        <f t="shared" si="14"/>
        <v xml:space="preserve"> </v>
      </c>
    </row>
    <row r="840" spans="1:1" x14ac:dyDescent="0.25">
      <c r="A840">
        <f t="shared" si="14"/>
        <v xml:space="preserve"> </v>
      </c>
    </row>
    <row r="841" spans="1:1" x14ac:dyDescent="0.25">
      <c r="A841">
        <f t="shared" si="14"/>
        <v xml:space="preserve"> </v>
      </c>
    </row>
    <row r="842" spans="1:1" x14ac:dyDescent="0.25">
      <c r="A842">
        <f t="shared" si="14"/>
        <v xml:space="preserve"> </v>
      </c>
    </row>
    <row r="843" spans="1:1" x14ac:dyDescent="0.25">
      <c r="A843">
        <f t="shared" si="14"/>
        <v xml:space="preserve"> </v>
      </c>
    </row>
    <row r="844" spans="1:1" x14ac:dyDescent="0.25">
      <c r="A844">
        <f t="shared" si="14"/>
        <v xml:space="preserve"> </v>
      </c>
    </row>
    <row r="845" spans="1:1" x14ac:dyDescent="0.25">
      <c r="A845">
        <f t="shared" si="14"/>
        <v xml:space="preserve"> </v>
      </c>
    </row>
    <row r="846" spans="1:1" x14ac:dyDescent="0.25">
      <c r="A846">
        <f t="shared" si="14"/>
        <v xml:space="preserve"> </v>
      </c>
    </row>
    <row r="847" spans="1:1" x14ac:dyDescent="0.25">
      <c r="A847">
        <f t="shared" si="14"/>
        <v xml:space="preserve"> </v>
      </c>
    </row>
    <row r="848" spans="1:1" x14ac:dyDescent="0.25">
      <c r="A848">
        <f t="shared" si="14"/>
        <v xml:space="preserve"> </v>
      </c>
    </row>
    <row r="849" spans="1:1" x14ac:dyDescent="0.25">
      <c r="A849">
        <f t="shared" si="14"/>
        <v xml:space="preserve"> </v>
      </c>
    </row>
    <row r="850" spans="1:1" x14ac:dyDescent="0.25">
      <c r="A850">
        <f t="shared" si="14"/>
        <v xml:space="preserve"> </v>
      </c>
    </row>
    <row r="851" spans="1:1" x14ac:dyDescent="0.25">
      <c r="A851">
        <f t="shared" si="14"/>
        <v xml:space="preserve"> </v>
      </c>
    </row>
    <row r="852" spans="1:1" x14ac:dyDescent="0.25">
      <c r="A852">
        <f t="shared" si="14"/>
        <v xml:space="preserve"> </v>
      </c>
    </row>
    <row r="853" spans="1:1" x14ac:dyDescent="0.25">
      <c r="A853">
        <f t="shared" si="14"/>
        <v xml:space="preserve"> </v>
      </c>
    </row>
    <row r="854" spans="1:1" x14ac:dyDescent="0.25">
      <c r="A854">
        <f t="shared" si="14"/>
        <v xml:space="preserve"> </v>
      </c>
    </row>
    <row r="855" spans="1:1" x14ac:dyDescent="0.25">
      <c r="A855">
        <f t="shared" si="14"/>
        <v xml:space="preserve"> </v>
      </c>
    </row>
    <row r="856" spans="1:1" x14ac:dyDescent="0.25">
      <c r="A856">
        <f t="shared" si="14"/>
        <v xml:space="preserve"> </v>
      </c>
    </row>
    <row r="857" spans="1:1" x14ac:dyDescent="0.25">
      <c r="A857">
        <f t="shared" si="14"/>
        <v xml:space="preserve"> </v>
      </c>
    </row>
    <row r="858" spans="1:1" x14ac:dyDescent="0.25">
      <c r="A858">
        <f t="shared" si="14"/>
        <v xml:space="preserve"> </v>
      </c>
    </row>
    <row r="859" spans="1:1" x14ac:dyDescent="0.25">
      <c r="A859">
        <f t="shared" si="14"/>
        <v xml:space="preserve"> </v>
      </c>
    </row>
    <row r="860" spans="1:1" x14ac:dyDescent="0.25">
      <c r="A860">
        <f t="shared" si="14"/>
        <v xml:space="preserve"> </v>
      </c>
    </row>
    <row r="861" spans="1:1" x14ac:dyDescent="0.25">
      <c r="A861">
        <f t="shared" si="14"/>
        <v xml:space="preserve"> </v>
      </c>
    </row>
    <row r="862" spans="1:1" x14ac:dyDescent="0.25">
      <c r="A862">
        <f t="shared" si="14"/>
        <v xml:space="preserve"> </v>
      </c>
    </row>
    <row r="863" spans="1:1" x14ac:dyDescent="0.25">
      <c r="A863">
        <f t="shared" si="14"/>
        <v xml:space="preserve"> </v>
      </c>
    </row>
    <row r="864" spans="1:1" x14ac:dyDescent="0.25">
      <c r="A864">
        <f t="shared" si="14"/>
        <v xml:space="preserve"> </v>
      </c>
    </row>
    <row r="865" spans="1:1" x14ac:dyDescent="0.25">
      <c r="A865">
        <f t="shared" si="14"/>
        <v xml:space="preserve"> </v>
      </c>
    </row>
    <row r="866" spans="1:1" x14ac:dyDescent="0.25">
      <c r="A866">
        <f t="shared" si="14"/>
        <v xml:space="preserve"> </v>
      </c>
    </row>
    <row r="867" spans="1:1" x14ac:dyDescent="0.25">
      <c r="A867">
        <f t="shared" si="14"/>
        <v xml:space="preserve"> </v>
      </c>
    </row>
    <row r="868" spans="1:1" x14ac:dyDescent="0.25">
      <c r="A868">
        <f t="shared" si="14"/>
        <v xml:space="preserve"> </v>
      </c>
    </row>
    <row r="869" spans="1:1" x14ac:dyDescent="0.25">
      <c r="A869">
        <f t="shared" si="14"/>
        <v xml:space="preserve"> </v>
      </c>
    </row>
    <row r="870" spans="1:1" x14ac:dyDescent="0.25">
      <c r="A870">
        <f t="shared" si="14"/>
        <v xml:space="preserve"> </v>
      </c>
    </row>
    <row r="871" spans="1:1" x14ac:dyDescent="0.25">
      <c r="A871">
        <f t="shared" si="14"/>
        <v xml:space="preserve"> </v>
      </c>
    </row>
    <row r="872" spans="1:1" x14ac:dyDescent="0.25">
      <c r="A872">
        <f t="shared" si="14"/>
        <v xml:space="preserve"> </v>
      </c>
    </row>
    <row r="873" spans="1:1" x14ac:dyDescent="0.25">
      <c r="A873">
        <f t="shared" si="14"/>
        <v xml:space="preserve"> </v>
      </c>
    </row>
    <row r="874" spans="1:1" x14ac:dyDescent="0.25">
      <c r="A874">
        <f t="shared" si="14"/>
        <v xml:space="preserve"> </v>
      </c>
    </row>
    <row r="875" spans="1:1" x14ac:dyDescent="0.25">
      <c r="A875">
        <f t="shared" si="14"/>
        <v xml:space="preserve"> </v>
      </c>
    </row>
    <row r="876" spans="1:1" x14ac:dyDescent="0.25">
      <c r="A876">
        <f t="shared" si="14"/>
        <v xml:space="preserve"> </v>
      </c>
    </row>
    <row r="877" spans="1:1" x14ac:dyDescent="0.25">
      <c r="A877">
        <f t="shared" si="14"/>
        <v xml:space="preserve"> </v>
      </c>
    </row>
    <row r="878" spans="1:1" x14ac:dyDescent="0.25">
      <c r="A878">
        <f t="shared" si="14"/>
        <v xml:space="preserve"> </v>
      </c>
    </row>
    <row r="879" spans="1:1" x14ac:dyDescent="0.25">
      <c r="A879">
        <f t="shared" si="14"/>
        <v xml:space="preserve"> </v>
      </c>
    </row>
    <row r="880" spans="1:1" x14ac:dyDescent="0.25">
      <c r="A880">
        <f t="shared" si="14"/>
        <v xml:space="preserve"> </v>
      </c>
    </row>
    <row r="881" spans="1:1" x14ac:dyDescent="0.25">
      <c r="A881">
        <f t="shared" si="14"/>
        <v xml:space="preserve"> </v>
      </c>
    </row>
    <row r="882" spans="1:1" x14ac:dyDescent="0.25">
      <c r="A882">
        <f t="shared" si="14"/>
        <v xml:space="preserve"> </v>
      </c>
    </row>
    <row r="883" spans="1:1" x14ac:dyDescent="0.25">
      <c r="A883">
        <f t="shared" si="14"/>
        <v xml:space="preserve"> </v>
      </c>
    </row>
    <row r="884" spans="1:1" x14ac:dyDescent="0.25">
      <c r="A884">
        <f t="shared" si="14"/>
        <v xml:space="preserve"> </v>
      </c>
    </row>
    <row r="885" spans="1:1" x14ac:dyDescent="0.25">
      <c r="A885">
        <f t="shared" si="14"/>
        <v xml:space="preserve"> </v>
      </c>
    </row>
    <row r="886" spans="1:1" x14ac:dyDescent="0.25">
      <c r="A886">
        <f t="shared" si="14"/>
        <v xml:space="preserve"> </v>
      </c>
    </row>
    <row r="887" spans="1:1" x14ac:dyDescent="0.25">
      <c r="A887">
        <f t="shared" si="14"/>
        <v xml:space="preserve"> </v>
      </c>
    </row>
    <row r="888" spans="1:1" x14ac:dyDescent="0.25">
      <c r="A888">
        <f t="shared" si="14"/>
        <v xml:space="preserve"> </v>
      </c>
    </row>
    <row r="889" spans="1:1" x14ac:dyDescent="0.25">
      <c r="A889">
        <f t="shared" si="14"/>
        <v xml:space="preserve"> </v>
      </c>
    </row>
    <row r="890" spans="1:1" x14ac:dyDescent="0.25">
      <c r="A890">
        <f t="shared" si="14"/>
        <v xml:space="preserve"> </v>
      </c>
    </row>
    <row r="891" spans="1:1" x14ac:dyDescent="0.25">
      <c r="A891">
        <f t="shared" si="14"/>
        <v xml:space="preserve"> </v>
      </c>
    </row>
    <row r="892" spans="1:1" x14ac:dyDescent="0.25">
      <c r="A892">
        <f t="shared" si="14"/>
        <v xml:space="preserve"> </v>
      </c>
    </row>
    <row r="893" spans="1:1" x14ac:dyDescent="0.25">
      <c r="A893">
        <f t="shared" si="14"/>
        <v xml:space="preserve"> </v>
      </c>
    </row>
    <row r="894" spans="1:1" x14ac:dyDescent="0.25">
      <c r="A894">
        <f t="shared" si="14"/>
        <v xml:space="preserve"> </v>
      </c>
    </row>
    <row r="895" spans="1:1" x14ac:dyDescent="0.25">
      <c r="A895">
        <f t="shared" si="14"/>
        <v xml:space="preserve"> </v>
      </c>
    </row>
    <row r="896" spans="1:1" x14ac:dyDescent="0.25">
      <c r="A896">
        <f t="shared" si="14"/>
        <v xml:space="preserve"> </v>
      </c>
    </row>
    <row r="897" spans="1:1" x14ac:dyDescent="0.25">
      <c r="A897">
        <f t="shared" si="14"/>
        <v xml:space="preserve"> </v>
      </c>
    </row>
    <row r="898" spans="1:1" x14ac:dyDescent="0.25">
      <c r="A898">
        <f t="shared" si="14"/>
        <v xml:space="preserve"> </v>
      </c>
    </row>
    <row r="899" spans="1:1" x14ac:dyDescent="0.25">
      <c r="A899">
        <f t="shared" ref="A899:A962" si="15">CONCATENATE(C899," ",H899)</f>
        <v xml:space="preserve"> </v>
      </c>
    </row>
    <row r="900" spans="1:1" x14ac:dyDescent="0.25">
      <c r="A900">
        <f t="shared" si="15"/>
        <v xml:space="preserve"> </v>
      </c>
    </row>
    <row r="901" spans="1:1" x14ac:dyDescent="0.25">
      <c r="A901">
        <f t="shared" si="15"/>
        <v xml:space="preserve"> </v>
      </c>
    </row>
    <row r="902" spans="1:1" x14ac:dyDescent="0.25">
      <c r="A902">
        <f t="shared" si="15"/>
        <v xml:space="preserve"> </v>
      </c>
    </row>
    <row r="903" spans="1:1" x14ac:dyDescent="0.25">
      <c r="A903">
        <f t="shared" si="15"/>
        <v xml:space="preserve"> </v>
      </c>
    </row>
    <row r="904" spans="1:1" x14ac:dyDescent="0.25">
      <c r="A904">
        <f t="shared" si="15"/>
        <v xml:space="preserve"> </v>
      </c>
    </row>
    <row r="905" spans="1:1" x14ac:dyDescent="0.25">
      <c r="A905">
        <f t="shared" si="15"/>
        <v xml:space="preserve"> </v>
      </c>
    </row>
    <row r="906" spans="1:1" x14ac:dyDescent="0.25">
      <c r="A906">
        <f t="shared" si="15"/>
        <v xml:space="preserve"> </v>
      </c>
    </row>
    <row r="907" spans="1:1" x14ac:dyDescent="0.25">
      <c r="A907">
        <f t="shared" si="15"/>
        <v xml:space="preserve"> </v>
      </c>
    </row>
    <row r="908" spans="1:1" x14ac:dyDescent="0.25">
      <c r="A908">
        <f t="shared" si="15"/>
        <v xml:space="preserve"> </v>
      </c>
    </row>
    <row r="909" spans="1:1" x14ac:dyDescent="0.25">
      <c r="A909">
        <f t="shared" si="15"/>
        <v xml:space="preserve"> </v>
      </c>
    </row>
    <row r="910" spans="1:1" x14ac:dyDescent="0.25">
      <c r="A910">
        <f t="shared" si="15"/>
        <v xml:space="preserve"> </v>
      </c>
    </row>
    <row r="911" spans="1:1" x14ac:dyDescent="0.25">
      <c r="A911">
        <f t="shared" si="15"/>
        <v xml:space="preserve"> </v>
      </c>
    </row>
    <row r="912" spans="1:1" x14ac:dyDescent="0.25">
      <c r="A912">
        <f t="shared" si="15"/>
        <v xml:space="preserve"> </v>
      </c>
    </row>
    <row r="913" spans="1:1" x14ac:dyDescent="0.25">
      <c r="A913">
        <f t="shared" si="15"/>
        <v xml:space="preserve"> </v>
      </c>
    </row>
    <row r="914" spans="1:1" x14ac:dyDescent="0.25">
      <c r="A914">
        <f t="shared" si="15"/>
        <v xml:space="preserve"> </v>
      </c>
    </row>
    <row r="915" spans="1:1" x14ac:dyDescent="0.25">
      <c r="A915">
        <f t="shared" si="15"/>
        <v xml:space="preserve"> </v>
      </c>
    </row>
    <row r="916" spans="1:1" x14ac:dyDescent="0.25">
      <c r="A916">
        <f t="shared" si="15"/>
        <v xml:space="preserve"> </v>
      </c>
    </row>
    <row r="917" spans="1:1" x14ac:dyDescent="0.25">
      <c r="A917">
        <f t="shared" si="15"/>
        <v xml:space="preserve"> </v>
      </c>
    </row>
    <row r="918" spans="1:1" x14ac:dyDescent="0.25">
      <c r="A918">
        <f t="shared" si="15"/>
        <v xml:space="preserve"> </v>
      </c>
    </row>
    <row r="919" spans="1:1" x14ac:dyDescent="0.25">
      <c r="A919">
        <f t="shared" si="15"/>
        <v xml:space="preserve"> </v>
      </c>
    </row>
    <row r="920" spans="1:1" x14ac:dyDescent="0.25">
      <c r="A920">
        <f t="shared" si="15"/>
        <v xml:space="preserve"> </v>
      </c>
    </row>
    <row r="921" spans="1:1" x14ac:dyDescent="0.25">
      <c r="A921">
        <f t="shared" si="15"/>
        <v xml:space="preserve"> </v>
      </c>
    </row>
    <row r="922" spans="1:1" x14ac:dyDescent="0.25">
      <c r="A922">
        <f t="shared" si="15"/>
        <v xml:space="preserve"> </v>
      </c>
    </row>
    <row r="923" spans="1:1" x14ac:dyDescent="0.25">
      <c r="A923">
        <f t="shared" si="15"/>
        <v xml:space="preserve"> </v>
      </c>
    </row>
    <row r="924" spans="1:1" x14ac:dyDescent="0.25">
      <c r="A924">
        <f t="shared" si="15"/>
        <v xml:space="preserve"> </v>
      </c>
    </row>
    <row r="925" spans="1:1" x14ac:dyDescent="0.25">
      <c r="A925">
        <f t="shared" si="15"/>
        <v xml:space="preserve"> </v>
      </c>
    </row>
    <row r="926" spans="1:1" x14ac:dyDescent="0.25">
      <c r="A926">
        <f t="shared" si="15"/>
        <v xml:space="preserve"> </v>
      </c>
    </row>
    <row r="927" spans="1:1" x14ac:dyDescent="0.25">
      <c r="A927">
        <f t="shared" si="15"/>
        <v xml:space="preserve"> </v>
      </c>
    </row>
    <row r="928" spans="1:1" x14ac:dyDescent="0.25">
      <c r="A928">
        <f t="shared" si="15"/>
        <v xml:space="preserve"> </v>
      </c>
    </row>
    <row r="929" spans="1:1" x14ac:dyDescent="0.25">
      <c r="A929">
        <f t="shared" si="15"/>
        <v xml:space="preserve"> </v>
      </c>
    </row>
    <row r="930" spans="1:1" x14ac:dyDescent="0.25">
      <c r="A930">
        <f t="shared" si="15"/>
        <v xml:space="preserve"> </v>
      </c>
    </row>
    <row r="931" spans="1:1" x14ac:dyDescent="0.25">
      <c r="A931">
        <f t="shared" si="15"/>
        <v xml:space="preserve"> </v>
      </c>
    </row>
    <row r="932" spans="1:1" x14ac:dyDescent="0.25">
      <c r="A932">
        <f t="shared" si="15"/>
        <v xml:space="preserve"> </v>
      </c>
    </row>
    <row r="933" spans="1:1" x14ac:dyDescent="0.25">
      <c r="A933">
        <f t="shared" si="15"/>
        <v xml:space="preserve"> </v>
      </c>
    </row>
    <row r="934" spans="1:1" x14ac:dyDescent="0.25">
      <c r="A934">
        <f t="shared" si="15"/>
        <v xml:space="preserve"> </v>
      </c>
    </row>
    <row r="935" spans="1:1" x14ac:dyDescent="0.25">
      <c r="A935">
        <f t="shared" si="15"/>
        <v xml:space="preserve"> </v>
      </c>
    </row>
    <row r="936" spans="1:1" x14ac:dyDescent="0.25">
      <c r="A936">
        <f t="shared" si="15"/>
        <v xml:space="preserve"> </v>
      </c>
    </row>
    <row r="937" spans="1:1" x14ac:dyDescent="0.25">
      <c r="A937">
        <f t="shared" si="15"/>
        <v xml:space="preserve"> </v>
      </c>
    </row>
    <row r="938" spans="1:1" x14ac:dyDescent="0.25">
      <c r="A938">
        <f t="shared" si="15"/>
        <v xml:space="preserve"> </v>
      </c>
    </row>
    <row r="939" spans="1:1" x14ac:dyDescent="0.25">
      <c r="A939">
        <f t="shared" si="15"/>
        <v xml:space="preserve"> </v>
      </c>
    </row>
    <row r="940" spans="1:1" x14ac:dyDescent="0.25">
      <c r="A940">
        <f t="shared" si="15"/>
        <v xml:space="preserve"> </v>
      </c>
    </row>
    <row r="941" spans="1:1" x14ac:dyDescent="0.25">
      <c r="A941">
        <f t="shared" si="15"/>
        <v xml:space="preserve"> </v>
      </c>
    </row>
    <row r="942" spans="1:1" x14ac:dyDescent="0.25">
      <c r="A942">
        <f t="shared" si="15"/>
        <v xml:space="preserve"> </v>
      </c>
    </row>
    <row r="943" spans="1:1" x14ac:dyDescent="0.25">
      <c r="A943">
        <f t="shared" si="15"/>
        <v xml:space="preserve"> </v>
      </c>
    </row>
    <row r="944" spans="1:1" x14ac:dyDescent="0.25">
      <c r="A944">
        <f t="shared" si="15"/>
        <v xml:space="preserve"> </v>
      </c>
    </row>
    <row r="945" spans="1:1" x14ac:dyDescent="0.25">
      <c r="A945">
        <f t="shared" si="15"/>
        <v xml:space="preserve"> </v>
      </c>
    </row>
    <row r="946" spans="1:1" x14ac:dyDescent="0.25">
      <c r="A946">
        <f t="shared" si="15"/>
        <v xml:space="preserve"> </v>
      </c>
    </row>
    <row r="947" spans="1:1" x14ac:dyDescent="0.25">
      <c r="A947">
        <f t="shared" si="15"/>
        <v xml:space="preserve"> </v>
      </c>
    </row>
    <row r="948" spans="1:1" x14ac:dyDescent="0.25">
      <c r="A948">
        <f t="shared" si="15"/>
        <v xml:space="preserve"> </v>
      </c>
    </row>
    <row r="949" spans="1:1" x14ac:dyDescent="0.25">
      <c r="A949">
        <f t="shared" si="15"/>
        <v xml:space="preserve"> </v>
      </c>
    </row>
    <row r="950" spans="1:1" x14ac:dyDescent="0.25">
      <c r="A950">
        <f t="shared" si="15"/>
        <v xml:space="preserve"> </v>
      </c>
    </row>
    <row r="951" spans="1:1" x14ac:dyDescent="0.25">
      <c r="A951">
        <f t="shared" si="15"/>
        <v xml:space="preserve"> </v>
      </c>
    </row>
    <row r="952" spans="1:1" x14ac:dyDescent="0.25">
      <c r="A952">
        <f t="shared" si="15"/>
        <v xml:space="preserve"> </v>
      </c>
    </row>
    <row r="953" spans="1:1" x14ac:dyDescent="0.25">
      <c r="A953">
        <f t="shared" si="15"/>
        <v xml:space="preserve"> </v>
      </c>
    </row>
    <row r="954" spans="1:1" x14ac:dyDescent="0.25">
      <c r="A954">
        <f t="shared" si="15"/>
        <v xml:space="preserve"> </v>
      </c>
    </row>
    <row r="955" spans="1:1" x14ac:dyDescent="0.25">
      <c r="A955">
        <f t="shared" si="15"/>
        <v xml:space="preserve"> </v>
      </c>
    </row>
    <row r="956" spans="1:1" x14ac:dyDescent="0.25">
      <c r="A956">
        <f t="shared" si="15"/>
        <v xml:space="preserve"> </v>
      </c>
    </row>
    <row r="957" spans="1:1" x14ac:dyDescent="0.25">
      <c r="A957">
        <f t="shared" si="15"/>
        <v xml:space="preserve"> </v>
      </c>
    </row>
    <row r="958" spans="1:1" x14ac:dyDescent="0.25">
      <c r="A958">
        <f t="shared" si="15"/>
        <v xml:space="preserve"> </v>
      </c>
    </row>
    <row r="959" spans="1:1" x14ac:dyDescent="0.25">
      <c r="A959">
        <f t="shared" si="15"/>
        <v xml:space="preserve"> </v>
      </c>
    </row>
    <row r="960" spans="1:1" x14ac:dyDescent="0.25">
      <c r="A960">
        <f t="shared" si="15"/>
        <v xml:space="preserve"> </v>
      </c>
    </row>
    <row r="961" spans="1:1" x14ac:dyDescent="0.25">
      <c r="A961">
        <f t="shared" si="15"/>
        <v xml:space="preserve"> </v>
      </c>
    </row>
    <row r="962" spans="1:1" x14ac:dyDescent="0.25">
      <c r="A962">
        <f t="shared" si="15"/>
        <v xml:space="preserve"> </v>
      </c>
    </row>
    <row r="963" spans="1:1" x14ac:dyDescent="0.25">
      <c r="A963">
        <f t="shared" ref="A963:A998" si="16">CONCATENATE(C963," ",H963)</f>
        <v xml:space="preserve"> </v>
      </c>
    </row>
    <row r="964" spans="1:1" x14ac:dyDescent="0.25">
      <c r="A964">
        <f t="shared" si="16"/>
        <v xml:space="preserve"> </v>
      </c>
    </row>
    <row r="965" spans="1:1" x14ac:dyDescent="0.25">
      <c r="A965">
        <f t="shared" si="16"/>
        <v xml:space="preserve"> </v>
      </c>
    </row>
    <row r="966" spans="1:1" x14ac:dyDescent="0.25">
      <c r="A966">
        <f t="shared" si="16"/>
        <v xml:space="preserve"> </v>
      </c>
    </row>
    <row r="967" spans="1:1" x14ac:dyDescent="0.25">
      <c r="A967">
        <f t="shared" si="16"/>
        <v xml:space="preserve"> </v>
      </c>
    </row>
    <row r="968" spans="1:1" x14ac:dyDescent="0.25">
      <c r="A968">
        <f t="shared" si="16"/>
        <v xml:space="preserve"> </v>
      </c>
    </row>
    <row r="969" spans="1:1" x14ac:dyDescent="0.25">
      <c r="A969">
        <f t="shared" si="16"/>
        <v xml:space="preserve"> </v>
      </c>
    </row>
    <row r="970" spans="1:1" x14ac:dyDescent="0.25">
      <c r="A970">
        <f t="shared" si="16"/>
        <v xml:space="preserve"> </v>
      </c>
    </row>
    <row r="971" spans="1:1" x14ac:dyDescent="0.25">
      <c r="A971">
        <f t="shared" si="16"/>
        <v xml:space="preserve"> </v>
      </c>
    </row>
    <row r="972" spans="1:1" x14ac:dyDescent="0.25">
      <c r="A972">
        <f t="shared" si="16"/>
        <v xml:space="preserve"> </v>
      </c>
    </row>
    <row r="973" spans="1:1" x14ac:dyDescent="0.25">
      <c r="A973">
        <f t="shared" si="16"/>
        <v xml:space="preserve"> </v>
      </c>
    </row>
    <row r="974" spans="1:1" x14ac:dyDescent="0.25">
      <c r="A974">
        <f t="shared" si="16"/>
        <v xml:space="preserve"> </v>
      </c>
    </row>
    <row r="975" spans="1:1" x14ac:dyDescent="0.25">
      <c r="A975">
        <f t="shared" si="16"/>
        <v xml:space="preserve"> </v>
      </c>
    </row>
    <row r="976" spans="1:1" x14ac:dyDescent="0.25">
      <c r="A976">
        <f t="shared" si="16"/>
        <v xml:space="preserve"> </v>
      </c>
    </row>
    <row r="977" spans="1:1" x14ac:dyDescent="0.25">
      <c r="A977">
        <f t="shared" si="16"/>
        <v xml:space="preserve"> </v>
      </c>
    </row>
    <row r="978" spans="1:1" x14ac:dyDescent="0.25">
      <c r="A978">
        <f t="shared" si="16"/>
        <v xml:space="preserve"> </v>
      </c>
    </row>
    <row r="979" spans="1:1" x14ac:dyDescent="0.25">
      <c r="A979">
        <f t="shared" si="16"/>
        <v xml:space="preserve"> </v>
      </c>
    </row>
    <row r="980" spans="1:1" x14ac:dyDescent="0.25">
      <c r="A980">
        <f t="shared" si="16"/>
        <v xml:space="preserve"> </v>
      </c>
    </row>
    <row r="981" spans="1:1" x14ac:dyDescent="0.25">
      <c r="A981">
        <f t="shared" si="16"/>
        <v xml:space="preserve"> </v>
      </c>
    </row>
    <row r="982" spans="1:1" x14ac:dyDescent="0.25">
      <c r="A982">
        <f t="shared" si="16"/>
        <v xml:space="preserve"> </v>
      </c>
    </row>
    <row r="983" spans="1:1" x14ac:dyDescent="0.25">
      <c r="A983">
        <f t="shared" si="16"/>
        <v xml:space="preserve"> </v>
      </c>
    </row>
    <row r="984" spans="1:1" x14ac:dyDescent="0.25">
      <c r="A984">
        <f t="shared" si="16"/>
        <v xml:space="preserve"> </v>
      </c>
    </row>
    <row r="985" spans="1:1" x14ac:dyDescent="0.25">
      <c r="A985">
        <f t="shared" si="16"/>
        <v xml:space="preserve"> </v>
      </c>
    </row>
    <row r="986" spans="1:1" x14ac:dyDescent="0.25">
      <c r="A986">
        <f t="shared" si="16"/>
        <v xml:space="preserve"> </v>
      </c>
    </row>
    <row r="987" spans="1:1" x14ac:dyDescent="0.25">
      <c r="A987">
        <f t="shared" si="16"/>
        <v xml:space="preserve"> </v>
      </c>
    </row>
    <row r="988" spans="1:1" x14ac:dyDescent="0.25">
      <c r="A988">
        <f t="shared" si="16"/>
        <v xml:space="preserve"> </v>
      </c>
    </row>
    <row r="989" spans="1:1" x14ac:dyDescent="0.25">
      <c r="A989">
        <f t="shared" si="16"/>
        <v xml:space="preserve"> </v>
      </c>
    </row>
    <row r="990" spans="1:1" x14ac:dyDescent="0.25">
      <c r="A990">
        <f t="shared" si="16"/>
        <v xml:space="preserve"> </v>
      </c>
    </row>
    <row r="991" spans="1:1" x14ac:dyDescent="0.25">
      <c r="A991">
        <f t="shared" si="16"/>
        <v xml:space="preserve"> </v>
      </c>
    </row>
    <row r="992" spans="1:1" x14ac:dyDescent="0.25">
      <c r="A992">
        <f t="shared" si="16"/>
        <v xml:space="preserve"> </v>
      </c>
    </row>
    <row r="993" spans="1:1" x14ac:dyDescent="0.25">
      <c r="A993">
        <f t="shared" si="16"/>
        <v xml:space="preserve"> </v>
      </c>
    </row>
    <row r="994" spans="1:1" x14ac:dyDescent="0.25">
      <c r="A994">
        <f t="shared" si="16"/>
        <v xml:space="preserve"> </v>
      </c>
    </row>
    <row r="995" spans="1:1" x14ac:dyDescent="0.25">
      <c r="A995">
        <f t="shared" si="16"/>
        <v xml:space="preserve"> </v>
      </c>
    </row>
    <row r="996" spans="1:1" x14ac:dyDescent="0.25">
      <c r="A996">
        <f t="shared" si="16"/>
        <v xml:space="preserve"> </v>
      </c>
    </row>
    <row r="997" spans="1:1" x14ac:dyDescent="0.25">
      <c r="A997">
        <f t="shared" si="16"/>
        <v xml:space="preserve"> </v>
      </c>
    </row>
    <row r="998" spans="1:1" x14ac:dyDescent="0.25">
      <c r="A998">
        <f t="shared" si="16"/>
        <v xml:space="preserve"> </v>
      </c>
    </row>
  </sheetData>
  <autoFilter ref="A2:W998" xr:uid="{00000000-0009-0000-0000-000004000000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калькулятор</vt:lpstr>
      <vt:lpstr>проценты на отложенную часть</vt:lpstr>
      <vt:lpstr>+- 30%</vt:lpstr>
      <vt:lpstr>тех.лист</vt:lpstr>
      <vt:lpstr>Лист для загрузки вех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2026-09-16T08:01:13Z</dcterms:modified>
</cp:coreProperties>
</file>